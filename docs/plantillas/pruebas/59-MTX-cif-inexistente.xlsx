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randy.kauffman\Downloads\"/>
    </mc:Choice>
  </mc:AlternateContent>
  <xr:revisionPtr revIDLastSave="0" documentId="8_{110455A8-DF88-45EB-97ED-5ECE4CD67DCB}" xr6:coauthVersionLast="47" xr6:coauthVersionMax="47" xr10:uidLastSave="{00000000-0000-0000-0000-000000000000}"/>
  <workbookProtection workbookAlgorithmName="SHA-512" workbookHashValue="HpiO8UC97Od5B/n9VIOUi6cX0rpnrVcTwdb7SXhq3dIxtKS6CiS00LWhaicoPPr/JUjXH+8BEZgoqDLSksO+NA==" workbookSaltValue="3cuvTVJ0EcJMPXNYEtgKyw==" workbookSpinCount="100000" lockStructure="1"/>
  <bookViews>
    <workbookView xWindow="-120" yWindow="-120" windowWidth="29040" windowHeight="15720" xr2:uid="{B67CFC2C-457F-47A6-8B5B-6A64C7D73C1E}"/>
  </bookViews>
  <sheets>
    <sheet name="Depositos" sheetId="1" r:id="rId1"/>
    <sheet name="Cheques" sheetId="2" r:id="rId2"/>
    <sheet name="Metadata" sheetId="3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1" i="2" l="1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G2" i="2" s="1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V38" i="1"/>
  <c r="U38" i="1"/>
  <c r="T38" i="1"/>
  <c r="V37" i="1"/>
  <c r="U37" i="1"/>
  <c r="T37" i="1"/>
  <c r="V36" i="1"/>
  <c r="U36" i="1"/>
  <c r="T36" i="1"/>
  <c r="V35" i="1"/>
  <c r="U35" i="1"/>
  <c r="T35" i="1"/>
  <c r="V34" i="1"/>
  <c r="U34" i="1"/>
  <c r="T34" i="1"/>
  <c r="V33" i="1"/>
  <c r="U33" i="1"/>
  <c r="T33" i="1"/>
  <c r="V32" i="1"/>
  <c r="U32" i="1"/>
  <c r="T32" i="1"/>
  <c r="V31" i="1"/>
  <c r="U31" i="1"/>
  <c r="T31" i="1"/>
  <c r="V30" i="1"/>
  <c r="U30" i="1"/>
  <c r="T30" i="1"/>
  <c r="V29" i="1"/>
  <c r="U29" i="1"/>
  <c r="T29" i="1"/>
  <c r="V28" i="1"/>
  <c r="U28" i="1"/>
  <c r="T28" i="1"/>
  <c r="V27" i="1"/>
  <c r="U27" i="1"/>
  <c r="T27" i="1"/>
  <c r="V26" i="1"/>
  <c r="U26" i="1"/>
  <c r="T26" i="1"/>
  <c r="V25" i="1"/>
  <c r="U25" i="1"/>
  <c r="T25" i="1"/>
  <c r="V24" i="1"/>
  <c r="U24" i="1"/>
  <c r="T24" i="1"/>
  <c r="V23" i="1"/>
  <c r="U23" i="1"/>
  <c r="T23" i="1"/>
  <c r="S19" i="1" a="1"/>
  <c r="S42" i="1" a="1"/>
  <c r="V12" i="1"/>
  <c r="T12" i="1"/>
  <c r="U12" i="1"/>
  <c r="T6" i="1"/>
  <c r="V6" i="1"/>
  <c r="U6" i="1"/>
  <c r="V5" i="1"/>
  <c r="U5" i="1"/>
  <c r="T5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I206" i="1"/>
  <c r="I205" i="1"/>
  <c r="I204" i="1"/>
  <c r="I203" i="1"/>
  <c r="F203" i="1" s="1"/>
  <c r="I202" i="1"/>
  <c r="F202" i="1" s="1"/>
  <c r="I201" i="1"/>
  <c r="I200" i="1"/>
  <c r="I199" i="1"/>
  <c r="F199" i="1" s="1"/>
  <c r="I198" i="1"/>
  <c r="F198" i="1" s="1"/>
  <c r="I197" i="1"/>
  <c r="F197" i="1" s="1"/>
  <c r="I196" i="1"/>
  <c r="F196" i="1" s="1"/>
  <c r="I195" i="1"/>
  <c r="F195" i="1" s="1"/>
  <c r="I194" i="1"/>
  <c r="F194" i="1" s="1"/>
  <c r="I193" i="1"/>
  <c r="I192" i="1"/>
  <c r="I191" i="1"/>
  <c r="I190" i="1"/>
  <c r="I189" i="1"/>
  <c r="D189" i="1" s="1"/>
  <c r="I188" i="1"/>
  <c r="F188" i="1" s="1"/>
  <c r="I187" i="1"/>
  <c r="I186" i="1"/>
  <c r="E186" i="1" s="1"/>
  <c r="I185" i="1"/>
  <c r="F185" i="1" s="1"/>
  <c r="I184" i="1"/>
  <c r="F184" i="1" s="1"/>
  <c r="I183" i="1"/>
  <c r="F183" i="1" s="1"/>
  <c r="I182" i="1"/>
  <c r="F182" i="1" s="1"/>
  <c r="I181" i="1"/>
  <c r="F181" i="1" s="1"/>
  <c r="I180" i="1"/>
  <c r="F180" i="1" s="1"/>
  <c r="I179" i="1"/>
  <c r="I178" i="1"/>
  <c r="I177" i="1"/>
  <c r="E177" i="1" s="1"/>
  <c r="I176" i="1"/>
  <c r="I175" i="1"/>
  <c r="F175" i="1" s="1"/>
  <c r="I174" i="1"/>
  <c r="F174" i="1" s="1"/>
  <c r="I173" i="1"/>
  <c r="I172" i="1"/>
  <c r="I171" i="1"/>
  <c r="F171" i="1" s="1"/>
  <c r="I170" i="1"/>
  <c r="F170" i="1" s="1"/>
  <c r="I169" i="1"/>
  <c r="F169" i="1" s="1"/>
  <c r="I168" i="1"/>
  <c r="F168" i="1" s="1"/>
  <c r="I167" i="1"/>
  <c r="F167" i="1" s="1"/>
  <c r="I166" i="1"/>
  <c r="F166" i="1" s="1"/>
  <c r="I165" i="1"/>
  <c r="I164" i="1"/>
  <c r="I163" i="1"/>
  <c r="D163" i="1" s="1"/>
  <c r="I162" i="1"/>
  <c r="I161" i="1"/>
  <c r="F161" i="1" s="1"/>
  <c r="I160" i="1"/>
  <c r="D160" i="1" s="1"/>
  <c r="I159" i="1"/>
  <c r="I158" i="1"/>
  <c r="I157" i="1"/>
  <c r="D157" i="1" s="1"/>
  <c r="I156" i="1"/>
  <c r="F156" i="1" s="1"/>
  <c r="I155" i="1"/>
  <c r="F155" i="1" s="1"/>
  <c r="I154" i="1"/>
  <c r="D154" i="1" s="1"/>
  <c r="I153" i="1"/>
  <c r="F153" i="1" s="1"/>
  <c r="I152" i="1"/>
  <c r="F152" i="1" s="1"/>
  <c r="I151" i="1"/>
  <c r="E151" i="1" s="1"/>
  <c r="I150" i="1"/>
  <c r="I149" i="1"/>
  <c r="I148" i="1"/>
  <c r="E148" i="1" s="1"/>
  <c r="I147" i="1"/>
  <c r="F147" i="1" s="1"/>
  <c r="I146" i="1"/>
  <c r="F146" i="1" s="1"/>
  <c r="I145" i="1"/>
  <c r="E145" i="1" s="1"/>
  <c r="I144" i="1"/>
  <c r="I143" i="1"/>
  <c r="F143" i="1" s="1"/>
  <c r="I142" i="1"/>
  <c r="F142" i="1" s="1"/>
  <c r="I141" i="1"/>
  <c r="F141" i="1" s="1"/>
  <c r="I140" i="1"/>
  <c r="F140" i="1" s="1"/>
  <c r="I139" i="1"/>
  <c r="F139" i="1" s="1"/>
  <c r="I138" i="1"/>
  <c r="F138" i="1" s="1"/>
  <c r="I137" i="1"/>
  <c r="I136" i="1"/>
  <c r="I135" i="1"/>
  <c r="I134" i="1"/>
  <c r="I133" i="1"/>
  <c r="F133" i="1" s="1"/>
  <c r="I132" i="1"/>
  <c r="F132" i="1" s="1"/>
  <c r="I131" i="1"/>
  <c r="I130" i="1"/>
  <c r="I129" i="1"/>
  <c r="F129" i="1" s="1"/>
  <c r="I128" i="1"/>
  <c r="F128" i="1" s="1"/>
  <c r="I127" i="1"/>
  <c r="F127" i="1" s="1"/>
  <c r="I126" i="1"/>
  <c r="F126" i="1" s="1"/>
  <c r="I125" i="1"/>
  <c r="C125" i="1" s="1"/>
  <c r="I124" i="1"/>
  <c r="F124" i="1" s="1"/>
  <c r="I123" i="1"/>
  <c r="I122" i="1"/>
  <c r="I121" i="1"/>
  <c r="I120" i="1"/>
  <c r="I119" i="1"/>
  <c r="F119" i="1" s="1"/>
  <c r="I118" i="1"/>
  <c r="F118" i="1" s="1"/>
  <c r="I117" i="1"/>
  <c r="I116" i="1"/>
  <c r="I115" i="1"/>
  <c r="F115" i="1" s="1"/>
  <c r="I114" i="1"/>
  <c r="F114" i="1" s="1"/>
  <c r="I113" i="1"/>
  <c r="D113" i="1" s="1"/>
  <c r="I112" i="1"/>
  <c r="F112" i="1" s="1"/>
  <c r="I111" i="1"/>
  <c r="F111" i="1" s="1"/>
  <c r="I110" i="1"/>
  <c r="F110" i="1" s="1"/>
  <c r="I109" i="1"/>
  <c r="I108" i="1"/>
  <c r="I107" i="1"/>
  <c r="I106" i="1"/>
  <c r="I105" i="1"/>
  <c r="F105" i="1" s="1"/>
  <c r="I104" i="1"/>
  <c r="F104" i="1" s="1"/>
  <c r="I103" i="1"/>
  <c r="I102" i="1"/>
  <c r="I101" i="1"/>
  <c r="F101" i="1" s="1"/>
  <c r="I100" i="1"/>
  <c r="F100" i="1" s="1"/>
  <c r="I99" i="1"/>
  <c r="F99" i="1" s="1"/>
  <c r="I98" i="1"/>
  <c r="F98" i="1" s="1"/>
  <c r="I97" i="1"/>
  <c r="F97" i="1" s="1"/>
  <c r="I96" i="1"/>
  <c r="F96" i="1" s="1"/>
  <c r="I95" i="1"/>
  <c r="I94" i="1"/>
  <c r="I93" i="1"/>
  <c r="I92" i="1"/>
  <c r="I91" i="1"/>
  <c r="F91" i="1" s="1"/>
  <c r="I90" i="1"/>
  <c r="F90" i="1" s="1"/>
  <c r="I89" i="1"/>
  <c r="I88" i="1"/>
  <c r="I87" i="1"/>
  <c r="F87" i="1" s="1"/>
  <c r="I86" i="1"/>
  <c r="F86" i="1" s="1"/>
  <c r="I85" i="1"/>
  <c r="F85" i="1" s="1"/>
  <c r="I84" i="1"/>
  <c r="F84" i="1" s="1"/>
  <c r="I83" i="1"/>
  <c r="F83" i="1" s="1"/>
  <c r="I82" i="1"/>
  <c r="F82" i="1" s="1"/>
  <c r="I81" i="1"/>
  <c r="I80" i="1"/>
  <c r="I79" i="1"/>
  <c r="I78" i="1"/>
  <c r="I77" i="1"/>
  <c r="F77" i="1" s="1"/>
  <c r="I76" i="1"/>
  <c r="F76" i="1" s="1"/>
  <c r="I75" i="1"/>
  <c r="I74" i="1"/>
  <c r="I73" i="1"/>
  <c r="F73" i="1" s="1"/>
  <c r="I72" i="1"/>
  <c r="F72" i="1" s="1"/>
  <c r="I71" i="1"/>
  <c r="F71" i="1" s="1"/>
  <c r="I70" i="1"/>
  <c r="F70" i="1" s="1"/>
  <c r="I69" i="1"/>
  <c r="E69" i="1" s="1"/>
  <c r="I68" i="1"/>
  <c r="F68" i="1" s="1"/>
  <c r="I67" i="1"/>
  <c r="I66" i="1"/>
  <c r="I65" i="1"/>
  <c r="I64" i="1"/>
  <c r="I63" i="1"/>
  <c r="F63" i="1" s="1"/>
  <c r="I62" i="1"/>
  <c r="F62" i="1" s="1"/>
  <c r="I61" i="1"/>
  <c r="I60" i="1"/>
  <c r="I59" i="1"/>
  <c r="F59" i="1" s="1"/>
  <c r="I58" i="1"/>
  <c r="F58" i="1" s="1"/>
  <c r="I57" i="1"/>
  <c r="F57" i="1" s="1"/>
  <c r="I56" i="1"/>
  <c r="F56" i="1" s="1"/>
  <c r="I55" i="1"/>
  <c r="C55" i="1" s="1"/>
  <c r="I54" i="1"/>
  <c r="F54" i="1" s="1"/>
  <c r="I53" i="1"/>
  <c r="I52" i="1"/>
  <c r="C52" i="1" s="1"/>
  <c r="I51" i="1"/>
  <c r="I50" i="1"/>
  <c r="I49" i="1"/>
  <c r="F49" i="1" s="1"/>
  <c r="I48" i="1"/>
  <c r="F48" i="1" s="1"/>
  <c r="I47" i="1"/>
  <c r="I46" i="1"/>
  <c r="I45" i="1"/>
  <c r="F45" i="1" s="1"/>
  <c r="I44" i="1"/>
  <c r="F44" i="1" s="1"/>
  <c r="I43" i="1"/>
  <c r="F43" i="1" s="1"/>
  <c r="I42" i="1"/>
  <c r="F42" i="1" s="1"/>
  <c r="I41" i="1"/>
  <c r="F41" i="1" s="1"/>
  <c r="I40" i="1"/>
  <c r="F40" i="1" s="1"/>
  <c r="I39" i="1"/>
  <c r="I38" i="1"/>
  <c r="I37" i="1"/>
  <c r="I36" i="1"/>
  <c r="I35" i="1"/>
  <c r="F35" i="1" s="1"/>
  <c r="I34" i="1"/>
  <c r="F34" i="1" s="1"/>
  <c r="I33" i="1"/>
  <c r="I32" i="1"/>
  <c r="I31" i="1"/>
  <c r="F31" i="1" s="1"/>
  <c r="I30" i="1"/>
  <c r="F30" i="1" s="1"/>
  <c r="I29" i="1"/>
  <c r="F29" i="1" s="1"/>
  <c r="I28" i="1"/>
  <c r="F28" i="1" s="1"/>
  <c r="I27" i="1"/>
  <c r="F27" i="1" s="1"/>
  <c r="I26" i="1"/>
  <c r="F26" i="1" s="1"/>
  <c r="I25" i="1"/>
  <c r="C25" i="1" s="1"/>
  <c r="I24" i="1"/>
  <c r="I23" i="1"/>
  <c r="I22" i="1"/>
  <c r="E22" i="1" s="1"/>
  <c r="I21" i="1"/>
  <c r="I20" i="1"/>
  <c r="F20" i="1" s="1"/>
  <c r="I6" i="1"/>
  <c r="I7" i="1" s="1"/>
  <c r="P6" i="1"/>
  <c r="F7" i="1" l="1"/>
  <c r="V22" i="1"/>
  <c r="U22" i="1"/>
  <c r="T22" i="1"/>
  <c r="T21" i="1"/>
  <c r="F21" i="1"/>
  <c r="V7" i="1"/>
  <c r="F1" i="2"/>
  <c r="S19" i="1"/>
  <c r="V20" i="1"/>
  <c r="U20" i="1"/>
  <c r="T20" i="1"/>
  <c r="U21" i="1"/>
  <c r="V21" i="1"/>
  <c r="W36" i="1"/>
  <c r="V13" i="1"/>
  <c r="V14" i="1" s="1"/>
  <c r="U13" i="1"/>
  <c r="U14" i="1" s="1"/>
  <c r="H1" i="2"/>
  <c r="J1" i="1" s="1"/>
  <c r="T13" i="1"/>
  <c r="T14" i="1" s="1"/>
  <c r="W38" i="1"/>
  <c r="W27" i="1"/>
  <c r="F23" i="1"/>
  <c r="F37" i="1"/>
  <c r="F51" i="1"/>
  <c r="F65" i="1"/>
  <c r="F79" i="1"/>
  <c r="F93" i="1"/>
  <c r="F107" i="1"/>
  <c r="F121" i="1"/>
  <c r="F135" i="1"/>
  <c r="F149" i="1"/>
  <c r="F191" i="1"/>
  <c r="F205" i="1"/>
  <c r="F24" i="1"/>
  <c r="F38" i="1"/>
  <c r="F66" i="1"/>
  <c r="F80" i="1"/>
  <c r="F94" i="1"/>
  <c r="F108" i="1"/>
  <c r="F122" i="1"/>
  <c r="F136" i="1"/>
  <c r="F150" i="1"/>
  <c r="F164" i="1"/>
  <c r="F178" i="1"/>
  <c r="F192" i="1"/>
  <c r="F206" i="1"/>
  <c r="W35" i="1"/>
  <c r="F36" i="1"/>
  <c r="F50" i="1"/>
  <c r="F64" i="1"/>
  <c r="F78" i="1"/>
  <c r="F92" i="1"/>
  <c r="F106" i="1"/>
  <c r="F120" i="1"/>
  <c r="F134" i="1"/>
  <c r="F162" i="1"/>
  <c r="F176" i="1"/>
  <c r="F190" i="1"/>
  <c r="F204" i="1"/>
  <c r="I8" i="1"/>
  <c r="F39" i="1"/>
  <c r="F53" i="1"/>
  <c r="F67" i="1"/>
  <c r="F81" i="1"/>
  <c r="F95" i="1"/>
  <c r="F109" i="1"/>
  <c r="F123" i="1"/>
  <c r="F137" i="1"/>
  <c r="F165" i="1"/>
  <c r="F179" i="1"/>
  <c r="F193" i="1"/>
  <c r="W26" i="1"/>
  <c r="W37" i="1"/>
  <c r="F32" i="1"/>
  <c r="F74" i="1"/>
  <c r="F88" i="1"/>
  <c r="F102" i="1"/>
  <c r="F130" i="1"/>
  <c r="F144" i="1"/>
  <c r="F158" i="1"/>
  <c r="F172" i="1"/>
  <c r="F200" i="1"/>
  <c r="F33" i="1"/>
  <c r="F47" i="1"/>
  <c r="F61" i="1"/>
  <c r="F75" i="1"/>
  <c r="F89" i="1"/>
  <c r="F103" i="1"/>
  <c r="F117" i="1"/>
  <c r="F131" i="1"/>
  <c r="F159" i="1"/>
  <c r="F173" i="1"/>
  <c r="F187" i="1"/>
  <c r="F201" i="1"/>
  <c r="W24" i="1"/>
  <c r="F46" i="1"/>
  <c r="F116" i="1"/>
  <c r="W29" i="1"/>
  <c r="F60" i="1"/>
  <c r="W28" i="1"/>
  <c r="W32" i="1"/>
  <c r="W34" i="1"/>
  <c r="W33" i="1"/>
  <c r="W25" i="1"/>
  <c r="W30" i="1"/>
  <c r="W23" i="1"/>
  <c r="W31" i="1"/>
  <c r="S42" i="1"/>
  <c r="V43" i="1"/>
  <c r="U43" i="1"/>
  <c r="V44" i="1"/>
  <c r="T43" i="1"/>
  <c r="T45" i="1"/>
  <c r="T44" i="1"/>
  <c r="U45" i="1"/>
  <c r="V45" i="1"/>
  <c r="T46" i="1"/>
  <c r="U44" i="1"/>
  <c r="U46" i="1"/>
  <c r="V46" i="1"/>
  <c r="T7" i="1"/>
  <c r="U7" i="1"/>
  <c r="E183" i="1"/>
  <c r="D198" i="1"/>
  <c r="C201" i="1"/>
  <c r="F52" i="1"/>
  <c r="F148" i="1"/>
  <c r="F160" i="1"/>
  <c r="F113" i="1"/>
  <c r="F125" i="1"/>
  <c r="F6" i="1"/>
  <c r="F186" i="1"/>
  <c r="F55" i="1"/>
  <c r="F151" i="1"/>
  <c r="F163" i="1"/>
  <c r="F69" i="1"/>
  <c r="F177" i="1"/>
  <c r="F189" i="1"/>
  <c r="D195" i="1"/>
  <c r="F22" i="1"/>
  <c r="F154" i="1"/>
  <c r="F25" i="1"/>
  <c r="F145" i="1"/>
  <c r="F157" i="1"/>
  <c r="C6" i="1"/>
  <c r="D6" i="1"/>
  <c r="E6" i="1"/>
  <c r="E163" i="1"/>
  <c r="C184" i="1"/>
  <c r="D25" i="1"/>
  <c r="C187" i="1"/>
  <c r="E25" i="1"/>
  <c r="C169" i="1"/>
  <c r="E189" i="1"/>
  <c r="C37" i="1"/>
  <c r="D169" i="1"/>
  <c r="D37" i="1"/>
  <c r="C172" i="1"/>
  <c r="E195" i="1"/>
  <c r="C49" i="1"/>
  <c r="D172" i="1"/>
  <c r="D137" i="1"/>
  <c r="C175" i="1"/>
  <c r="D175" i="1"/>
  <c r="D201" i="1"/>
  <c r="C149" i="1"/>
  <c r="E201" i="1"/>
  <c r="E157" i="1"/>
  <c r="C178" i="1"/>
  <c r="C181" i="1"/>
  <c r="D66" i="1"/>
  <c r="C66" i="1"/>
  <c r="E66" i="1"/>
  <c r="E134" i="1"/>
  <c r="D134" i="1"/>
  <c r="C134" i="1"/>
  <c r="E158" i="1"/>
  <c r="D158" i="1"/>
  <c r="C158" i="1"/>
  <c r="E170" i="1"/>
  <c r="D170" i="1"/>
  <c r="C170" i="1"/>
  <c r="D104" i="1"/>
  <c r="C104" i="1"/>
  <c r="E104" i="1"/>
  <c r="E94" i="1"/>
  <c r="D94" i="1"/>
  <c r="C94" i="1"/>
  <c r="E59" i="1"/>
  <c r="D59" i="1"/>
  <c r="C59" i="1"/>
  <c r="C72" i="1"/>
  <c r="D72" i="1"/>
  <c r="E98" i="1"/>
  <c r="D98" i="1"/>
  <c r="C98" i="1"/>
  <c r="E99" i="1"/>
  <c r="D99" i="1"/>
  <c r="C99" i="1"/>
  <c r="E70" i="1"/>
  <c r="D70" i="1"/>
  <c r="C70" i="1"/>
  <c r="E86" i="1"/>
  <c r="D86" i="1"/>
  <c r="C86" i="1"/>
  <c r="E27" i="1"/>
  <c r="D27" i="1"/>
  <c r="C27" i="1"/>
  <c r="E100" i="1"/>
  <c r="D100" i="1"/>
  <c r="C100" i="1"/>
  <c r="E30" i="1"/>
  <c r="D30" i="1"/>
  <c r="C30" i="1"/>
  <c r="E42" i="1"/>
  <c r="D42" i="1"/>
  <c r="C42" i="1"/>
  <c r="E54" i="1"/>
  <c r="D54" i="1"/>
  <c r="C54" i="1"/>
  <c r="C78" i="1"/>
  <c r="E78" i="1"/>
  <c r="D78" i="1"/>
  <c r="E102" i="1"/>
  <c r="D102" i="1"/>
  <c r="C102" i="1"/>
  <c r="E7" i="1"/>
  <c r="D7" i="1"/>
  <c r="C7" i="1"/>
  <c r="C31" i="1"/>
  <c r="D31" i="1"/>
  <c r="E20" i="1"/>
  <c r="D20" i="1"/>
  <c r="C20" i="1"/>
  <c r="E32" i="1"/>
  <c r="D32" i="1"/>
  <c r="C32" i="1"/>
  <c r="E44" i="1"/>
  <c r="D44" i="1"/>
  <c r="C44" i="1"/>
  <c r="E68" i="1"/>
  <c r="D68" i="1"/>
  <c r="C68" i="1"/>
  <c r="E92" i="1"/>
  <c r="D92" i="1"/>
  <c r="C92" i="1"/>
  <c r="C116" i="1"/>
  <c r="E116" i="1"/>
  <c r="D116" i="1"/>
  <c r="C22" i="1"/>
  <c r="D22" i="1"/>
  <c r="E34" i="1"/>
  <c r="C34" i="1"/>
  <c r="E46" i="1"/>
  <c r="D46" i="1"/>
  <c r="E58" i="1"/>
  <c r="D58" i="1"/>
  <c r="C58" i="1"/>
  <c r="E106" i="1"/>
  <c r="D106" i="1"/>
  <c r="C106" i="1"/>
  <c r="E23" i="1"/>
  <c r="D23" i="1"/>
  <c r="C23" i="1"/>
  <c r="E35" i="1"/>
  <c r="D35" i="1"/>
  <c r="C35" i="1"/>
  <c r="E47" i="1"/>
  <c r="D47" i="1"/>
  <c r="C47" i="1"/>
  <c r="E71" i="1"/>
  <c r="D71" i="1"/>
  <c r="C71" i="1"/>
  <c r="E95" i="1"/>
  <c r="D95" i="1"/>
  <c r="C95" i="1"/>
  <c r="D107" i="1"/>
  <c r="C107" i="1"/>
  <c r="E107" i="1"/>
  <c r="C119" i="1"/>
  <c r="E119" i="1"/>
  <c r="D119" i="1"/>
  <c r="E24" i="1"/>
  <c r="D24" i="1"/>
  <c r="C24" i="1"/>
  <c r="E36" i="1"/>
  <c r="D36" i="1"/>
  <c r="C36" i="1"/>
  <c r="E48" i="1"/>
  <c r="D48" i="1"/>
  <c r="C48" i="1"/>
  <c r="D60" i="1"/>
  <c r="C60" i="1"/>
  <c r="E60" i="1"/>
  <c r="E84" i="1"/>
  <c r="D84" i="1"/>
  <c r="C84" i="1"/>
  <c r="E96" i="1"/>
  <c r="D96" i="1"/>
  <c r="C96" i="1"/>
  <c r="E120" i="1"/>
  <c r="D120" i="1"/>
  <c r="C120" i="1"/>
  <c r="E132" i="1"/>
  <c r="D132" i="1"/>
  <c r="C132" i="1"/>
  <c r="E144" i="1"/>
  <c r="D144" i="1"/>
  <c r="C144" i="1"/>
  <c r="E26" i="1"/>
  <c r="D26" i="1"/>
  <c r="C26" i="1"/>
  <c r="E38" i="1"/>
  <c r="D38" i="1"/>
  <c r="C38" i="1"/>
  <c r="E50" i="1"/>
  <c r="D50" i="1"/>
  <c r="C50" i="1"/>
  <c r="E62" i="1"/>
  <c r="D62" i="1"/>
  <c r="C62" i="1"/>
  <c r="E74" i="1"/>
  <c r="D74" i="1"/>
  <c r="C74" i="1"/>
  <c r="D110" i="1"/>
  <c r="C110" i="1"/>
  <c r="E110" i="1"/>
  <c r="C122" i="1"/>
  <c r="E122" i="1"/>
  <c r="D122" i="1"/>
  <c r="E146" i="1"/>
  <c r="D146" i="1"/>
  <c r="C146" i="1"/>
  <c r="E39" i="1"/>
  <c r="D39" i="1"/>
  <c r="C39" i="1"/>
  <c r="E51" i="1"/>
  <c r="D51" i="1"/>
  <c r="C51" i="1"/>
  <c r="D63" i="1"/>
  <c r="C63" i="1"/>
  <c r="E63" i="1"/>
  <c r="C75" i="1"/>
  <c r="E75" i="1"/>
  <c r="D75" i="1"/>
  <c r="E87" i="1"/>
  <c r="D87" i="1"/>
  <c r="C87" i="1"/>
  <c r="C28" i="1"/>
  <c r="D28" i="1"/>
  <c r="E40" i="1"/>
  <c r="C40" i="1"/>
  <c r="E52" i="1"/>
  <c r="D52" i="1"/>
  <c r="E64" i="1"/>
  <c r="D64" i="1"/>
  <c r="C64" i="1"/>
  <c r="E76" i="1"/>
  <c r="D76" i="1"/>
  <c r="C76" i="1"/>
  <c r="E88" i="1"/>
  <c r="D88" i="1"/>
  <c r="C88" i="1"/>
  <c r="E112" i="1"/>
  <c r="D112" i="1"/>
  <c r="C112" i="1"/>
  <c r="E29" i="1"/>
  <c r="D29" i="1"/>
  <c r="C29" i="1"/>
  <c r="E41" i="1"/>
  <c r="D41" i="1"/>
  <c r="C41" i="1"/>
  <c r="E53" i="1"/>
  <c r="D53" i="1"/>
  <c r="C53" i="1"/>
  <c r="E65" i="1"/>
  <c r="D65" i="1"/>
  <c r="C65" i="1"/>
  <c r="E77" i="1"/>
  <c r="D77" i="1"/>
  <c r="C77" i="1"/>
  <c r="E89" i="1"/>
  <c r="D89" i="1"/>
  <c r="C89" i="1"/>
  <c r="E101" i="1"/>
  <c r="D101" i="1"/>
  <c r="C101" i="1"/>
  <c r="E28" i="1"/>
  <c r="E114" i="1"/>
  <c r="D114" i="1"/>
  <c r="C114" i="1"/>
  <c r="E126" i="1"/>
  <c r="D126" i="1"/>
  <c r="C126" i="1"/>
  <c r="E138" i="1"/>
  <c r="D138" i="1"/>
  <c r="C138" i="1"/>
  <c r="E150" i="1"/>
  <c r="D150" i="1"/>
  <c r="C150" i="1"/>
  <c r="E162" i="1"/>
  <c r="D162" i="1"/>
  <c r="C162" i="1"/>
  <c r="E31" i="1"/>
  <c r="E43" i="1"/>
  <c r="C43" i="1"/>
  <c r="E55" i="1"/>
  <c r="D55" i="1"/>
  <c r="E67" i="1"/>
  <c r="D67" i="1"/>
  <c r="C67" i="1"/>
  <c r="E79" i="1"/>
  <c r="D79" i="1"/>
  <c r="C79" i="1"/>
  <c r="E91" i="1"/>
  <c r="D91" i="1"/>
  <c r="C91" i="1"/>
  <c r="E103" i="1"/>
  <c r="D103" i="1"/>
  <c r="C103" i="1"/>
  <c r="D34" i="1"/>
  <c r="E128" i="1"/>
  <c r="D128" i="1"/>
  <c r="C128" i="1"/>
  <c r="E140" i="1"/>
  <c r="D140" i="1"/>
  <c r="C140" i="1"/>
  <c r="E152" i="1"/>
  <c r="D152" i="1"/>
  <c r="C152" i="1"/>
  <c r="E164" i="1"/>
  <c r="D164" i="1"/>
  <c r="C164" i="1"/>
  <c r="E176" i="1"/>
  <c r="D176" i="1"/>
  <c r="C176" i="1"/>
  <c r="E56" i="1"/>
  <c r="D56" i="1"/>
  <c r="C56" i="1"/>
  <c r="E21" i="1"/>
  <c r="D21" i="1"/>
  <c r="C21" i="1"/>
  <c r="E33" i="1"/>
  <c r="D33" i="1"/>
  <c r="C33" i="1"/>
  <c r="E45" i="1"/>
  <c r="D45" i="1"/>
  <c r="C45" i="1"/>
  <c r="D57" i="1"/>
  <c r="C57" i="1"/>
  <c r="E57" i="1"/>
  <c r="C69" i="1"/>
  <c r="D69" i="1"/>
  <c r="E72" i="1"/>
  <c r="E118" i="1"/>
  <c r="D118" i="1"/>
  <c r="C118" i="1"/>
  <c r="E130" i="1"/>
  <c r="D130" i="1"/>
  <c r="C130" i="1"/>
  <c r="E142" i="1"/>
  <c r="D142" i="1"/>
  <c r="C142" i="1"/>
  <c r="D40" i="1"/>
  <c r="E90" i="1"/>
  <c r="D90" i="1"/>
  <c r="C90" i="1"/>
  <c r="E80" i="1"/>
  <c r="D80" i="1"/>
  <c r="C80" i="1"/>
  <c r="E131" i="1"/>
  <c r="D131" i="1"/>
  <c r="C131" i="1"/>
  <c r="E143" i="1"/>
  <c r="D143" i="1"/>
  <c r="C143" i="1"/>
  <c r="E155" i="1"/>
  <c r="D155" i="1"/>
  <c r="C155" i="1"/>
  <c r="E167" i="1"/>
  <c r="D167" i="1"/>
  <c r="C167" i="1"/>
  <c r="E179" i="1"/>
  <c r="D179" i="1"/>
  <c r="C179" i="1"/>
  <c r="E191" i="1"/>
  <c r="D191" i="1"/>
  <c r="C191" i="1"/>
  <c r="D43" i="1"/>
  <c r="E108" i="1"/>
  <c r="D108" i="1"/>
  <c r="C108" i="1"/>
  <c r="E156" i="1"/>
  <c r="D156" i="1"/>
  <c r="C156" i="1"/>
  <c r="E180" i="1"/>
  <c r="D180" i="1"/>
  <c r="C180" i="1"/>
  <c r="D192" i="1"/>
  <c r="C192" i="1"/>
  <c r="E192" i="1"/>
  <c r="C204" i="1"/>
  <c r="E204" i="1"/>
  <c r="D204" i="1"/>
  <c r="C46" i="1"/>
  <c r="E82" i="1"/>
  <c r="D82" i="1"/>
  <c r="C82" i="1"/>
  <c r="E83" i="1"/>
  <c r="D83" i="1"/>
  <c r="C83" i="1"/>
  <c r="E168" i="1"/>
  <c r="D168" i="1"/>
  <c r="C168" i="1"/>
  <c r="C81" i="1"/>
  <c r="E113" i="1"/>
  <c r="D125" i="1"/>
  <c r="C137" i="1"/>
  <c r="E154" i="1"/>
  <c r="E160" i="1"/>
  <c r="C166" i="1"/>
  <c r="E198" i="1"/>
  <c r="D81" i="1"/>
  <c r="C93" i="1"/>
  <c r="D166" i="1"/>
  <c r="E125" i="1"/>
  <c r="E37" i="1"/>
  <c r="D49" i="1"/>
  <c r="C61" i="1"/>
  <c r="E81" i="1"/>
  <c r="D93" i="1"/>
  <c r="C105" i="1"/>
  <c r="C111" i="1"/>
  <c r="E137" i="1"/>
  <c r="D149" i="1"/>
  <c r="C161" i="1"/>
  <c r="E166" i="1"/>
  <c r="E169" i="1"/>
  <c r="E172" i="1"/>
  <c r="E175" i="1"/>
  <c r="D178" i="1"/>
  <c r="D181" i="1"/>
  <c r="D184" i="1"/>
  <c r="D187" i="1"/>
  <c r="C190" i="1"/>
  <c r="C193" i="1"/>
  <c r="C196" i="1"/>
  <c r="C199" i="1"/>
  <c r="E49" i="1"/>
  <c r="D61" i="1"/>
  <c r="C73" i="1"/>
  <c r="E93" i="1"/>
  <c r="D105" i="1"/>
  <c r="D111" i="1"/>
  <c r="C117" i="1"/>
  <c r="C123" i="1"/>
  <c r="E149" i="1"/>
  <c r="D161" i="1"/>
  <c r="E178" i="1"/>
  <c r="E181" i="1"/>
  <c r="E184" i="1"/>
  <c r="E187" i="1"/>
  <c r="D190" i="1"/>
  <c r="D193" i="1"/>
  <c r="D196" i="1"/>
  <c r="D199" i="1"/>
  <c r="C202" i="1"/>
  <c r="C205" i="1"/>
  <c r="E61" i="1"/>
  <c r="D73" i="1"/>
  <c r="C85" i="1"/>
  <c r="E105" i="1"/>
  <c r="E111" i="1"/>
  <c r="D117" i="1"/>
  <c r="D123" i="1"/>
  <c r="C129" i="1"/>
  <c r="C135" i="1"/>
  <c r="E161" i="1"/>
  <c r="C173" i="1"/>
  <c r="E190" i="1"/>
  <c r="E193" i="1"/>
  <c r="E196" i="1"/>
  <c r="E199" i="1"/>
  <c r="D202" i="1"/>
  <c r="D205" i="1"/>
  <c r="E73" i="1"/>
  <c r="D85" i="1"/>
  <c r="C97" i="1"/>
  <c r="E117" i="1"/>
  <c r="E123" i="1"/>
  <c r="D129" i="1"/>
  <c r="D135" i="1"/>
  <c r="C141" i="1"/>
  <c r="C147" i="1"/>
  <c r="D173" i="1"/>
  <c r="C182" i="1"/>
  <c r="C185" i="1"/>
  <c r="E202" i="1"/>
  <c r="E205" i="1"/>
  <c r="E85" i="1"/>
  <c r="D97" i="1"/>
  <c r="C109" i="1"/>
  <c r="C115" i="1"/>
  <c r="E129" i="1"/>
  <c r="E135" i="1"/>
  <c r="D141" i="1"/>
  <c r="D147" i="1"/>
  <c r="C153" i="1"/>
  <c r="C159" i="1"/>
  <c r="E173" i="1"/>
  <c r="D182" i="1"/>
  <c r="D185" i="1"/>
  <c r="C188" i="1"/>
  <c r="C194" i="1"/>
  <c r="C197" i="1"/>
  <c r="E97" i="1"/>
  <c r="D109" i="1"/>
  <c r="D115" i="1"/>
  <c r="C121" i="1"/>
  <c r="C124" i="1"/>
  <c r="C127" i="1"/>
  <c r="E141" i="1"/>
  <c r="E147" i="1"/>
  <c r="D153" i="1"/>
  <c r="D159" i="1"/>
  <c r="C165" i="1"/>
  <c r="E182" i="1"/>
  <c r="E185" i="1"/>
  <c r="D188" i="1"/>
  <c r="D194" i="1"/>
  <c r="D197" i="1"/>
  <c r="C200" i="1"/>
  <c r="C203" i="1"/>
  <c r="C206" i="1"/>
  <c r="E109" i="1"/>
  <c r="E115" i="1"/>
  <c r="D121" i="1"/>
  <c r="D124" i="1"/>
  <c r="D127" i="1"/>
  <c r="C133" i="1"/>
  <c r="C136" i="1"/>
  <c r="C139" i="1"/>
  <c r="E153" i="1"/>
  <c r="E159" i="1"/>
  <c r="D165" i="1"/>
  <c r="C171" i="1"/>
  <c r="C174" i="1"/>
  <c r="E188" i="1"/>
  <c r="E194" i="1"/>
  <c r="E197" i="1"/>
  <c r="D200" i="1"/>
  <c r="D203" i="1"/>
  <c r="D206" i="1"/>
  <c r="E121" i="1"/>
  <c r="E124" i="1"/>
  <c r="E127" i="1"/>
  <c r="D133" i="1"/>
  <c r="D136" i="1"/>
  <c r="D139" i="1"/>
  <c r="C145" i="1"/>
  <c r="C148" i="1"/>
  <c r="C151" i="1"/>
  <c r="E165" i="1"/>
  <c r="D171" i="1"/>
  <c r="D174" i="1"/>
  <c r="C177" i="1"/>
  <c r="C183" i="1"/>
  <c r="C186" i="1"/>
  <c r="E200" i="1"/>
  <c r="E203" i="1"/>
  <c r="E206" i="1"/>
  <c r="C113" i="1"/>
  <c r="E133" i="1"/>
  <c r="E136" i="1"/>
  <c r="E139" i="1"/>
  <c r="D145" i="1"/>
  <c r="D148" i="1"/>
  <c r="D151" i="1"/>
  <c r="C154" i="1"/>
  <c r="C157" i="1"/>
  <c r="C160" i="1"/>
  <c r="C163" i="1"/>
  <c r="E171" i="1"/>
  <c r="E174" i="1"/>
  <c r="D177" i="1"/>
  <c r="D183" i="1"/>
  <c r="D186" i="1"/>
  <c r="C189" i="1"/>
  <c r="C195" i="1"/>
  <c r="C198" i="1"/>
  <c r="W22" i="1" l="1"/>
  <c r="W21" i="1"/>
  <c r="V19" i="1"/>
  <c r="T19" i="1"/>
  <c r="U19" i="1"/>
  <c r="V10" i="1"/>
  <c r="I9" i="1"/>
  <c r="I10" i="1" s="1"/>
  <c r="F10" i="1" s="1"/>
  <c r="F8" i="1"/>
  <c r="C8" i="1"/>
  <c r="D8" i="1"/>
  <c r="E8" i="1"/>
  <c r="W20" i="1"/>
  <c r="V42" i="1"/>
  <c r="T42" i="1"/>
  <c r="U42" i="1"/>
  <c r="H189" i="1"/>
  <c r="H6" i="1"/>
  <c r="H160" i="1"/>
  <c r="H201" i="1"/>
  <c r="H195" i="1"/>
  <c r="H172" i="1"/>
  <c r="H157" i="1"/>
  <c r="H185" i="1"/>
  <c r="H39" i="1"/>
  <c r="H62" i="1"/>
  <c r="H26" i="1"/>
  <c r="H112" i="1"/>
  <c r="H64" i="1"/>
  <c r="H94" i="1"/>
  <c r="H163" i="1"/>
  <c r="H25" i="1"/>
  <c r="H113" i="1"/>
  <c r="H57" i="1"/>
  <c r="H91" i="1"/>
  <c r="H55" i="1"/>
  <c r="H162" i="1"/>
  <c r="H167" i="1"/>
  <c r="H131" i="1"/>
  <c r="H197" i="1"/>
  <c r="H115" i="1"/>
  <c r="H187" i="1"/>
  <c r="H180" i="1"/>
  <c r="H151" i="1"/>
  <c r="H161" i="1"/>
  <c r="H80" i="1"/>
  <c r="H175" i="1"/>
  <c r="H169" i="1"/>
  <c r="H24" i="1"/>
  <c r="H194" i="1"/>
  <c r="H184" i="1"/>
  <c r="H60" i="1"/>
  <c r="H148" i="1"/>
  <c r="H188" i="1"/>
  <c r="H135" i="1"/>
  <c r="H181" i="1"/>
  <c r="H56" i="1"/>
  <c r="H152" i="1"/>
  <c r="H107" i="1"/>
  <c r="H145" i="1"/>
  <c r="H46" i="1"/>
  <c r="H69" i="1"/>
  <c r="H88" i="1"/>
  <c r="H52" i="1"/>
  <c r="H87" i="1"/>
  <c r="H51" i="1"/>
  <c r="H146" i="1"/>
  <c r="H174" i="1"/>
  <c r="H190" i="1"/>
  <c r="H73" i="1"/>
  <c r="H61" i="1"/>
  <c r="H100" i="1"/>
  <c r="H70" i="1"/>
  <c r="H171" i="1"/>
  <c r="H141" i="1"/>
  <c r="H173" i="1"/>
  <c r="H49" i="1"/>
  <c r="H126" i="1"/>
  <c r="H37" i="1"/>
  <c r="H40" i="1"/>
  <c r="H186" i="1"/>
  <c r="H200" i="1"/>
  <c r="H124" i="1"/>
  <c r="H153" i="1"/>
  <c r="H204" i="1"/>
  <c r="H76" i="1"/>
  <c r="H59" i="1"/>
  <c r="H116" i="1"/>
  <c r="H154" i="1"/>
  <c r="H45" i="1"/>
  <c r="H27" i="1"/>
  <c r="H99" i="1"/>
  <c r="H28" i="1"/>
  <c r="H177" i="1"/>
  <c r="H32" i="1"/>
  <c r="H104" i="1"/>
  <c r="H134" i="1"/>
  <c r="H203" i="1"/>
  <c r="H127" i="1"/>
  <c r="H159" i="1"/>
  <c r="H82" i="1"/>
  <c r="H176" i="1"/>
  <c r="H140" i="1"/>
  <c r="H65" i="1"/>
  <c r="H29" i="1"/>
  <c r="H144" i="1"/>
  <c r="H96" i="1"/>
  <c r="H71" i="1"/>
  <c r="H23" i="1"/>
  <c r="H58" i="1"/>
  <c r="H22" i="1"/>
  <c r="H7" i="1"/>
  <c r="H72" i="1"/>
  <c r="H121" i="1"/>
  <c r="H142" i="1"/>
  <c r="H43" i="1"/>
  <c r="H85" i="1"/>
  <c r="H147" i="1"/>
  <c r="H196" i="1"/>
  <c r="H166" i="1"/>
  <c r="H191" i="1"/>
  <c r="H155" i="1"/>
  <c r="H79" i="1"/>
  <c r="H150" i="1"/>
  <c r="H114" i="1"/>
  <c r="H36" i="1"/>
  <c r="H119" i="1"/>
  <c r="H68" i="1"/>
  <c r="H20" i="1"/>
  <c r="H206" i="1"/>
  <c r="H182" i="1"/>
  <c r="H101" i="1"/>
  <c r="H54" i="1"/>
  <c r="H183" i="1"/>
  <c r="H199" i="1"/>
  <c r="H139" i="1"/>
  <c r="H136" i="1"/>
  <c r="H149" i="1"/>
  <c r="H193" i="1"/>
  <c r="H137" i="1"/>
  <c r="H33" i="1"/>
  <c r="H164" i="1"/>
  <c r="H128" i="1"/>
  <c r="H89" i="1"/>
  <c r="H53" i="1"/>
  <c r="H122" i="1"/>
  <c r="H132" i="1"/>
  <c r="H84" i="1"/>
  <c r="H47" i="1"/>
  <c r="H102" i="1"/>
  <c r="H42" i="1"/>
  <c r="H170" i="1"/>
  <c r="H81" i="1"/>
  <c r="H198" i="1"/>
  <c r="H133" i="1"/>
  <c r="H205" i="1"/>
  <c r="H123" i="1"/>
  <c r="H125" i="1"/>
  <c r="H130" i="1"/>
  <c r="H75" i="1"/>
  <c r="H50" i="1"/>
  <c r="H31" i="1"/>
  <c r="H192" i="1"/>
  <c r="H202" i="1"/>
  <c r="H117" i="1"/>
  <c r="H111" i="1"/>
  <c r="H108" i="1"/>
  <c r="H165" i="1"/>
  <c r="H109" i="1"/>
  <c r="H105" i="1"/>
  <c r="H168" i="1"/>
  <c r="H179" i="1"/>
  <c r="H143" i="1"/>
  <c r="H103" i="1"/>
  <c r="H67" i="1"/>
  <c r="H138" i="1"/>
  <c r="H63" i="1"/>
  <c r="H110" i="1"/>
  <c r="H34" i="1"/>
  <c r="H44" i="1"/>
  <c r="H78" i="1"/>
  <c r="H86" i="1"/>
  <c r="H66" i="1"/>
  <c r="H83" i="1"/>
  <c r="H90" i="1"/>
  <c r="H21" i="1"/>
  <c r="H77" i="1"/>
  <c r="H41" i="1"/>
  <c r="H120" i="1"/>
  <c r="H48" i="1"/>
  <c r="H35" i="1"/>
  <c r="H106" i="1"/>
  <c r="H92" i="1"/>
  <c r="H30" i="1"/>
  <c r="H98" i="1"/>
  <c r="H97" i="1"/>
  <c r="H129" i="1"/>
  <c r="H178" i="1"/>
  <c r="H93" i="1"/>
  <c r="H156" i="1"/>
  <c r="H118" i="1"/>
  <c r="H74" i="1"/>
  <c r="H38" i="1"/>
  <c r="H95" i="1"/>
  <c r="H158" i="1"/>
  <c r="W19" i="1" l="1"/>
  <c r="W18" i="1" s="1"/>
  <c r="D10" i="1"/>
  <c r="C10" i="1"/>
  <c r="H8" i="1"/>
  <c r="E10" i="1"/>
  <c r="F9" i="1"/>
  <c r="C9" i="1"/>
  <c r="D9" i="1"/>
  <c r="E9" i="1"/>
  <c r="I11" i="1"/>
  <c r="F11" i="1" l="1"/>
  <c r="D11" i="1"/>
  <c r="C11" i="1"/>
  <c r="E11" i="1"/>
  <c r="H9" i="1"/>
  <c r="I12" i="1"/>
  <c r="H10" i="1"/>
  <c r="I13" i="1" l="1"/>
  <c r="I14" i="1" s="1"/>
  <c r="D12" i="1"/>
  <c r="C12" i="1"/>
  <c r="F12" i="1"/>
  <c r="E12" i="1"/>
  <c r="H11" i="1"/>
  <c r="I15" i="1" l="1"/>
  <c r="D13" i="1"/>
  <c r="F13" i="1"/>
  <c r="E13" i="1"/>
  <c r="C13" i="1"/>
  <c r="F14" i="1"/>
  <c r="E14" i="1"/>
  <c r="D14" i="1"/>
  <c r="C14" i="1"/>
  <c r="H12" i="1"/>
  <c r="H14" i="1" l="1"/>
  <c r="H13" i="1"/>
  <c r="F15" i="1"/>
  <c r="D15" i="1"/>
  <c r="C15" i="1"/>
  <c r="E15" i="1"/>
  <c r="I16" i="1"/>
  <c r="F16" i="1" l="1"/>
  <c r="E16" i="1"/>
  <c r="D16" i="1"/>
  <c r="C16" i="1"/>
  <c r="I17" i="1"/>
  <c r="I18" i="1" s="1"/>
  <c r="I19" i="1" s="1"/>
  <c r="H15" i="1"/>
  <c r="E19" i="1" l="1"/>
  <c r="D19" i="1"/>
  <c r="C19" i="1"/>
  <c r="F19" i="1"/>
  <c r="F18" i="1"/>
  <c r="E18" i="1"/>
  <c r="D18" i="1"/>
  <c r="C18" i="1"/>
  <c r="F17" i="1"/>
  <c r="E17" i="1"/>
  <c r="D17" i="1"/>
  <c r="C17" i="1"/>
  <c r="I1" i="1"/>
  <c r="H16" i="1"/>
  <c r="H17" i="1" l="1"/>
  <c r="H19" i="1"/>
  <c r="C1" i="1"/>
  <c r="E1" i="1"/>
  <c r="H18" i="1"/>
  <c r="D1" i="1"/>
  <c r="F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<sst xmlns="http://schemas.openxmlformats.org/spreadsheetml/2006/main" count="52" uniqueCount="33">
  <si>
    <t>Depositos</t>
  </si>
  <si>
    <t xml:space="preserve"> Resumen por moneda</t>
  </si>
  <si>
    <t>NIO</t>
  </si>
  <si>
    <t>USD</t>
  </si>
  <si>
    <t>EUR</t>
  </si>
  <si>
    <t>No. deposito</t>
  </si>
  <si>
    <t>No. bolsa</t>
  </si>
  <si>
    <t>No. Cuenta</t>
  </si>
  <si>
    <t>Moneda</t>
  </si>
  <si>
    <t>Cheques Locales BAC</t>
  </si>
  <si>
    <t>Cheques Locales Otros</t>
  </si>
  <si>
    <t>Efectivo</t>
  </si>
  <si>
    <t>Total</t>
  </si>
  <si>
    <t>Referencia</t>
  </si>
  <si>
    <t>Cheques</t>
  </si>
  <si>
    <t xml:space="preserve"> Depositos vs Cheques Declarados</t>
  </si>
  <si>
    <t>Cheques declarados</t>
  </si>
  <si>
    <t>Diferencia</t>
  </si>
  <si>
    <t xml:space="preserve"> Resumen por cuenta</t>
  </si>
  <si>
    <t xml:space="preserve"> </t>
  </si>
  <si>
    <t xml:space="preserve"> Resumen por bolsa</t>
  </si>
  <si>
    <t>No. Deposito</t>
  </si>
  <si>
    <t>No. Cheque</t>
  </si>
  <si>
    <t>Tipo</t>
  </si>
  <si>
    <t>Monto</t>
  </si>
  <si>
    <t>Cheque Local BAC</t>
  </si>
  <si>
    <t>TemplateId</t>
  </si>
  <si>
    <t>CH-TPL-Depositos</t>
  </si>
  <si>
    <t>TemplateVersion</t>
  </si>
  <si>
    <t>1.0.0</t>
  </si>
  <si>
    <t>CIF del Cliente:</t>
  </si>
  <si>
    <t>ClientCIF</t>
  </si>
  <si>
    <t>1.1.0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</si>
</sst>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#,##0.00_);\(#,##0.00\);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1"/>
      <color theme="0" tint="-4.9989318521683403E-2"/>
      <name val="Aptos Narrow"/>
      <family val="2"/>
      <scheme val="minor"/>
    </font>
    <font>
      <sz val="10"/>
      <color theme="0" tint="-4.9989318521683403E-2"/>
      <name val="Arial"/>
      <family val="2"/>
    </font>
    <font>
      <b/>
      <sz val="12"/>
      <color theme="0" tint="-4.9989318521683403E-2"/>
      <name val="Arial"/>
      <family val="2"/>
    </font>
    <font>
      <b/>
      <sz val="11"/>
      <color theme="0" tint="-4.9989318521683403E-2"/>
      <name val="Arial"/>
      <family val="2"/>
    </font>
    <font>
      <sz val="11"/>
      <color theme="0" tint="-4.9989318521683403E-2"/>
      <name val="Arial"/>
      <family val="2"/>
    </font>
    <font>
      <sz val="11"/>
      <color rgb="FFC00000"/>
      <name val="Aptos Narrow"/>
      <family val="2"/>
      <scheme val="minor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theme="0" tint="-4.9989318521683403E-2"/>
      </left>
      <right/>
      <top/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4.9989318521683403E-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164" fontId="5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0" xfId="0" applyFont="1" applyFill="1"/>
    <xf numFmtId="164" fontId="5" fillId="0" borderId="0" xfId="1" applyNumberFormat="1" applyFont="1" applyBorder="1" applyAlignment="1">
      <alignment horizontal="center" vertical="center"/>
    </xf>
    <xf numFmtId="0" fontId="0" fillId="0" borderId="1" xfId="0" applyBorder="1"/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5" fillId="0" borderId="2" xfId="1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5" fillId="0" borderId="4" xfId="1" applyNumberFormat="1" applyFont="1" applyBorder="1" applyAlignment="1">
      <alignment horizontal="center" vertical="center"/>
    </xf>
    <xf numFmtId="164" fontId="5" fillId="0" borderId="5" xfId="1" applyNumberFormat="1" applyFont="1" applyBorder="1" applyAlignment="1">
      <alignment horizontal="center" vertical="center"/>
    </xf>
    <xf numFmtId="40" fontId="5" fillId="0" borderId="4" xfId="1" applyNumberFormat="1" applyFont="1" applyBorder="1" applyAlignment="1">
      <alignment horizontal="center" vertical="center"/>
    </xf>
    <xf numFmtId="40" fontId="5" fillId="0" borderId="5" xfId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1" xfId="0" applyFont="1" applyBorder="1"/>
    <xf numFmtId="0" fontId="5" fillId="0" borderId="3" xfId="0" applyFont="1" applyBorder="1"/>
    <xf numFmtId="0" fontId="10" fillId="3" borderId="6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/>
    </xf>
    <xf numFmtId="164" fontId="9" fillId="3" borderId="8" xfId="1" applyNumberFormat="1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left" vertical="center"/>
    </xf>
    <xf numFmtId="0" fontId="12" fillId="3" borderId="7" xfId="0" applyFont="1" applyFill="1" applyBorder="1" applyAlignment="1">
      <alignment horizontal="center" vertical="center"/>
    </xf>
    <xf numFmtId="0" fontId="13" fillId="3" borderId="8" xfId="0" applyFont="1" applyFill="1" applyBorder="1"/>
    <xf numFmtId="0" fontId="14" fillId="3" borderId="6" xfId="0" applyFont="1" applyFill="1" applyBorder="1"/>
    <xf numFmtId="0" fontId="7" fillId="3" borderId="7" xfId="0" applyFont="1" applyFill="1" applyBorder="1"/>
    <xf numFmtId="0" fontId="15" fillId="3" borderId="7" xfId="0" applyFont="1" applyFill="1" applyBorder="1"/>
    <xf numFmtId="0" fontId="15" fillId="3" borderId="8" xfId="0" applyFont="1" applyFill="1" applyBorder="1"/>
    <xf numFmtId="164" fontId="5" fillId="4" borderId="0" xfId="1" applyNumberFormat="1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0" fillId="2" borderId="0" xfId="0" applyFill="1"/>
    <xf numFmtId="0" fontId="5" fillId="4" borderId="0" xfId="0" applyFont="1" applyFill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0" borderId="9" xfId="0" applyFont="1" applyBorder="1"/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5" fillId="2" borderId="0" xfId="0" applyFont="1" applyFill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164" fontId="5" fillId="0" borderId="0" xfId="1" applyNumberFormat="1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43" fontId="0" fillId="0" borderId="0" xfId="1" applyFont="1" applyBorder="1" applyAlignment="1" applyProtection="1">
      <alignment horizontal="center" vertical="center"/>
      <protection locked="0"/>
    </xf>
    <xf numFmtId="49" fontId="0" fillId="0" borderId="0" xfId="0" applyNumberFormat="1" applyProtection="1">
      <protection locked="0"/>
    </xf>
  </cellXfs>
  <cellStyles count="2">
    <cellStyle name="Comma" xfId="1" builtinId="3"/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protection locked="0" hidden="0"/>
    </dxf>
    <dxf>
      <border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border>
        <bottom style="medium">
          <color theme="0" tint="-4.9989318521683403E-2"/>
        </bottom>
      </border>
    </dxf>
    <dxf>
      <border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0"/>
      </font>
      <fill>
        <patternFill>
          <bgColor rgb="FFC0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 Style 1" defaultPivotStyle="PivotStyleLight16">
    <tableStyle name="Table Style 1" pivot="0" count="2" xr9:uid="{270B038D-C50F-495F-8CDF-C2481C954A07}">
      <tableStyleElement type="wholeTable" dxfId="32"/>
      <tableStyleElement type="headerRow" dxfId="31"/>
    </tableStyle>
  </tableStyles>
  <colors>
    <mruColors>
      <color rgb="FFFAFA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192741</xdr:colOff>
      <xdr:row>1</xdr:row>
      <xdr:rowOff>63500</xdr:rowOff>
    </xdr:from>
    <xdr:to>
      <xdr:col>7</xdr:col>
      <xdr:colOff>332440</xdr:colOff>
      <xdr:row>29</xdr:row>
      <xdr:rowOff>37870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3580DB8-F8A5-C77B-C290-DFCB99E9A33D}"/>
            </a:ext>
          </a:extLst>
        </xdr:cNvPr>
        <xdr:cNvSpPr/>
      </xdr:nvSpPr>
      <xdr:spPr>
        <a:xfrm>
          <a:off x="439270" y="250265"/>
          <a:ext cx="2731994" cy="5261535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  <a:effectLst>
          <a:outerShdw blurRad="50800" sx="102000" sy="102000" algn="ctr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✎</a:t>
          </a:r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Instrucciones</a:t>
          </a:r>
        </a:p>
        <a:p>
          <a:pPr algn="l"/>
          <a:endParaRPr lang="en-US" sz="14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1.</a:t>
          </a:r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En la tabla "depositos", llena las columnas "No. Cuenta", "Moneda" y al menos uno de los tres campos de dinero (Cheques Locales BAC, Cheques Locales Otros o Efectivo). El campo "No. deposito"  y "Total" se autocompletan. El campo "Referencia" es opcional.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2. Si un deposito lleva valor en las columnas de cheque, se requiere que el cheque sea delcarado en la hoja cheques.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3. Verifica que todas las validaciones esten bien, esto disminuira los reprocesos del pre-registro.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4. Utiliza los resumenes para verificar montos antes de guardar la plantilla.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5. Guarda la plantilla en formato Excel (.xlsx).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6. Envia la plantilla a </a:t>
          </a:r>
          <a:r>
            <a:rPr lang="en-US" sz="1000" b="0" i="1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correo@baccredomatic.com.ni</a:t>
          </a:r>
        </a:p>
        <a:p>
          <a:pPr algn="l"/>
          <a:endParaRPr lang="en-US" sz="1000" b="0" i="1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i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7. En menos de 5 minutos recibiras el mensaje de respuesta confirmando o rechazando el pre-registro.</a:t>
          </a:r>
        </a:p>
      </xdr:txBody>
    </xdr:sp>
    <xdr:clientData/>
  </xdr:twoCellAnchor>
  <xdr:twoCellAnchor>
    <xdr:from>
      <xdr:col>1</xdr:col>
      <xdr:colOff>190500</xdr:colOff>
      <xdr:row>30</xdr:row>
      <xdr:rowOff>106646</xdr:rowOff>
    </xdr:from>
    <xdr:to>
      <xdr:col>7</xdr:col>
      <xdr:colOff>336549</xdr:colOff>
      <xdr:row>51</xdr:row>
      <xdr:rowOff>106913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CF07FA5D-94C3-1FB2-BDBD-73C148174A6E}"/>
            </a:ext>
          </a:extLst>
        </xdr:cNvPr>
        <xdr:cNvGrpSpPr/>
      </xdr:nvGrpSpPr>
      <xdr:grpSpPr>
        <a:xfrm>
          <a:off x="428625" y="5888321"/>
          <a:ext cx="2698749" cy="4010292"/>
          <a:chOff x="433485" y="5996595"/>
          <a:chExt cx="2702248" cy="4092129"/>
        </a:xfrm>
      </xdr:grpSpPr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D2937B52-38D0-3143-8297-6E6EE82154D9}"/>
              </a:ext>
            </a:extLst>
          </xdr:cNvPr>
          <xdr:cNvGrpSpPr/>
        </xdr:nvGrpSpPr>
        <xdr:grpSpPr>
          <a:xfrm>
            <a:off x="433485" y="5996595"/>
            <a:ext cx="2702248" cy="4092129"/>
            <a:chOff x="305651" y="5606343"/>
            <a:chExt cx="2723492" cy="3744688"/>
          </a:xfrm>
        </xdr:grpSpPr>
        <xdr:sp macro="" textlink="">
          <xdr:nvSpPr>
            <xdr:cNvPr id="3" name="Rectangle: Rounded Corners 2">
              <a:extLst>
                <a:ext uri="{FF2B5EF4-FFF2-40B4-BE49-F238E27FC236}">
                  <a16:creationId xmlns:a16="http://schemas.microsoft.com/office/drawing/2014/main" id="{B084069C-203F-480C-901C-115982313B79}"/>
                </a:ext>
              </a:extLst>
            </xdr:cNvPr>
            <xdr:cNvSpPr/>
          </xdr:nvSpPr>
          <xdr:spPr>
            <a:xfrm>
              <a:off x="305651" y="5606343"/>
              <a:ext cx="2723492" cy="3744688"/>
            </a:xfrm>
            <a:prstGeom prst="roundRect">
              <a:avLst/>
            </a:prstGeom>
            <a:solidFill>
              <a:schemeClr val="bg1"/>
            </a:solidFill>
            <a:ln>
              <a:solidFill>
                <a:schemeClr val="bg1">
                  <a:lumMod val="95000"/>
                </a:schemeClr>
              </a:solidFill>
            </a:ln>
            <a:effectLst>
              <a:outerShdw blurRad="50800" sx="102000" sy="102000" algn="ctr" rotWithShape="0">
                <a:prstClr val="black">
                  <a:alpha val="2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⚠</a:t>
              </a:r>
              <a:r>
                <a:rPr lang="en-US" sz="1100" b="0" i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4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Validaciones</a:t>
              </a:r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Al menos 1 deposito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lt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</a:t>
              </a:r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Todos los deposito tiene No. Bolsa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Numero de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 Moneda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algun monto declarado</a:t>
              </a:r>
              <a:r>
                <a:rPr lang="en-US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1</a:t>
              </a:r>
              <a:r>
                <a:rPr lang="en-US" sz="1000"/>
                <a:t> 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montos de deposito en cheque cuadran con los cheques declarados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No. cuenta estan asociados a una sola moneda por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Sin numeros de cheques repetidos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Todos los cheques declarados estan registrados correctamente</a:t>
              </a:r>
            </a:p>
          </xdr:txBody>
        </xdr:sp>
        <xdr:sp macro="" textlink="$I$1">
          <xdr:nvSpPr>
            <xdr:cNvPr id="6" name="Multiplication Sign 5">
              <a:extLst>
                <a:ext uri="{FF2B5EF4-FFF2-40B4-BE49-F238E27FC236}">
                  <a16:creationId xmlns:a16="http://schemas.microsoft.com/office/drawing/2014/main" id="{B579AD54-610C-F102-4D81-774C66EF59DA}"/>
                </a:ext>
              </a:extLst>
            </xdr:cNvPr>
            <xdr:cNvSpPr/>
          </xdr:nvSpPr>
          <xdr:spPr>
            <a:xfrm>
              <a:off x="440121" y="60153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37D1E2-B9B9-4945-9C68-F110DBD9FDC2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C$1">
          <xdr:nvSpPr>
            <xdr:cNvPr id="7" name="Multiplication Sign 6">
              <a:extLst>
                <a:ext uri="{FF2B5EF4-FFF2-40B4-BE49-F238E27FC236}">
                  <a16:creationId xmlns:a16="http://schemas.microsoft.com/office/drawing/2014/main" id="{9F775BED-60E1-413D-87CF-7D938CDCD190}"/>
                </a:ext>
              </a:extLst>
            </xdr:cNvPr>
            <xdr:cNvSpPr/>
          </xdr:nvSpPr>
          <xdr:spPr>
            <a:xfrm>
              <a:off x="433771" y="62910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F7652094-727C-4D1F-A47C-D99585B1A664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D$1">
          <xdr:nvSpPr>
            <xdr:cNvPr id="8" name="Multiplication Sign 7">
              <a:extLst>
                <a:ext uri="{FF2B5EF4-FFF2-40B4-BE49-F238E27FC236}">
                  <a16:creationId xmlns:a16="http://schemas.microsoft.com/office/drawing/2014/main" id="{F2BA76FF-B0D4-4C34-B711-B0C682BFC805}"/>
                </a:ext>
              </a:extLst>
            </xdr:cNvPr>
            <xdr:cNvSpPr/>
          </xdr:nvSpPr>
          <xdr:spPr>
            <a:xfrm>
              <a:off x="433771" y="6559078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FFCAEB-1AC6-49B0-B766-64B85EC4ADA7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E$1">
          <xdr:nvSpPr>
            <xdr:cNvPr id="9" name="Multiplication Sign 8">
              <a:extLst>
                <a:ext uri="{FF2B5EF4-FFF2-40B4-BE49-F238E27FC236}">
                  <a16:creationId xmlns:a16="http://schemas.microsoft.com/office/drawing/2014/main" id="{64CBFD9B-0FA1-4097-A947-0C45A971B1C4}"/>
                </a:ext>
              </a:extLst>
            </xdr:cNvPr>
            <xdr:cNvSpPr/>
          </xdr:nvSpPr>
          <xdr:spPr>
            <a:xfrm>
              <a:off x="440121" y="6931030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DB89B26D-D7D2-4B2A-B137-DB4BC174D4EE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F$1">
          <xdr:nvSpPr>
            <xdr:cNvPr id="10" name="Multiplication Sign 9">
              <a:extLst>
                <a:ext uri="{FF2B5EF4-FFF2-40B4-BE49-F238E27FC236}">
                  <a16:creationId xmlns:a16="http://schemas.microsoft.com/office/drawing/2014/main" id="{F0079A5E-FC7F-40C7-9054-259375596161}"/>
                </a:ext>
              </a:extLst>
            </xdr:cNvPr>
            <xdr:cNvSpPr/>
          </xdr:nvSpPr>
          <xdr:spPr>
            <a:xfrm>
              <a:off x="437879" y="7232582"/>
              <a:ext cx="274320" cy="271267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8F3997A-91D8-4A52-AF1A-A78489E942FB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V$10">
          <xdr:nvSpPr>
            <xdr:cNvPr id="12" name="Multiplication Sign 11">
              <a:extLst>
                <a:ext uri="{FF2B5EF4-FFF2-40B4-BE49-F238E27FC236}">
                  <a16:creationId xmlns:a16="http://schemas.microsoft.com/office/drawing/2014/main" id="{0DA60D6B-059D-4889-A628-990F8777DD43}"/>
                </a:ext>
              </a:extLst>
            </xdr:cNvPr>
            <xdr:cNvSpPr/>
          </xdr:nvSpPr>
          <xdr:spPr>
            <a:xfrm>
              <a:off x="458798" y="7659933"/>
              <a:ext cx="274320" cy="274100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BBC83E23-B5F6-4832-AF2E-FEA750EDBD5B}" type="TxLink">
                <a:rPr lang="en-US" sz="1100" b="0" i="0" u="none" strike="noStrike">
                  <a:solidFill>
                    <a:srgbClr val="000000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W$18">
          <xdr:nvSpPr>
            <xdr:cNvPr id="13" name="Multiplication Sign 12">
              <a:extLst>
                <a:ext uri="{FF2B5EF4-FFF2-40B4-BE49-F238E27FC236}">
                  <a16:creationId xmlns:a16="http://schemas.microsoft.com/office/drawing/2014/main" id="{0B3904FC-FCEB-4263-A447-DA5D7243E633}"/>
                </a:ext>
              </a:extLst>
            </xdr:cNvPr>
            <xdr:cNvSpPr/>
          </xdr:nvSpPr>
          <xdr:spPr>
            <a:xfrm>
              <a:off x="473739" y="8104624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F66C567-A4B7-4714-B6C6-E882F4A11421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</xdr:grpSp>
      <xdr:sp macro="" textlink="$J$1">
        <xdr:nvSpPr>
          <xdr:cNvPr id="4" name="Multiplication Sign 3">
            <a:extLst>
              <a:ext uri="{FF2B5EF4-FFF2-40B4-BE49-F238E27FC236}">
                <a16:creationId xmlns:a16="http://schemas.microsoft.com/office/drawing/2014/main" id="{20AA8CFA-00E8-41DC-A055-C267507FDCDC}"/>
              </a:ext>
            </a:extLst>
          </xdr:cNvPr>
          <xdr:cNvSpPr/>
        </xdr:nvSpPr>
        <xdr:spPr>
          <a:xfrm>
            <a:off x="602602" y="9148933"/>
            <a:ext cx="272180" cy="299533"/>
          </a:xfrm>
          <a:prstGeom prst="mathMultiply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A469FCA-84A5-4766-984A-0F8BE6D887B9}" type="TxLink">
              <a:rPr lang="en-US" sz="1100" b="0" i="0" u="none" strike="noStrike">
                <a:solidFill>
                  <a:srgbClr val="FFFFFF"/>
                </a:solidFill>
                <a:latin typeface="Aptos Narrow"/>
              </a:rPr>
              <a:pPr algn="ctr"/>
              <a:t>✔️</a:t>
            </a:fld>
            <a:endParaRPr lang="en-US" sz="1100"/>
          </a:p>
        </xdr:txBody>
      </xdr:sp>
    </xdr:grpSp>
    <xdr:clientData/>
  </xdr:twoCellAnchor>
  <xdr:twoCellAnchor>
    <xdr:from>
      <xdr:col>1</xdr:col>
      <xdr:colOff>366346</xdr:colOff>
      <xdr:row>48</xdr:row>
      <xdr:rowOff>62684</xdr:rowOff>
    </xdr:from>
    <xdr:to>
      <xdr:col>2</xdr:col>
      <xdr:colOff>29005</xdr:colOff>
      <xdr:row>49</xdr:row>
      <xdr:rowOff>165566</xdr:rowOff>
    </xdr:to>
    <xdr:sp macro="" textlink="'Cheques'!$F$1">
      <xdr:nvSpPr>
        <xdr:cNvPr id="11" name="Multiplication Sign 10">
          <a:extLst>
            <a:ext uri="{FF2B5EF4-FFF2-40B4-BE49-F238E27FC236}">
              <a16:creationId xmlns:a16="http://schemas.microsoft.com/office/drawing/2014/main" id="{EF39B748-8774-46AC-AC30-4394537860A8}"/>
            </a:ext>
          </a:extLst>
        </xdr:cNvPr>
        <xdr:cNvSpPr/>
      </xdr:nvSpPr>
      <xdr:spPr>
        <a:xfrm>
          <a:off x="608134" y="9265299"/>
          <a:ext cx="270794" cy="293382"/>
        </a:xfrm>
        <a:prstGeom prst="mathMultiply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F5425D5-14D1-4712-8835-762CF5E161F8}" type="TxLink">
            <a:rPr lang="en-US" sz="1100" b="0" i="0" u="none" strike="noStrike">
              <a:solidFill>
                <a:srgbClr val="FFFFFF"/>
              </a:solidFill>
              <a:latin typeface="Aptos Narrow"/>
            </a:rPr>
            <a:pPr algn="ctr"/>
            <a:t> </a:t>
          </a:fld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A2BB1D-8D86-49FC-B752-9E3D2D47C284}" name="Depositos" displayName="Depositos" ref="I5:Q206" totalsRowShown="0" headerRowDxfId="22" dataDxfId="21" headerRowBorderDxfId="19" tableBorderDxfId="20" dataCellStyle="Comma">
  <tableColumns count="9">
    <tableColumn id="1" xr3:uid="{73A12DFA-E302-4985-8871-45178532C181}" name="No. deposito" dataDxfId="18">
      <calculatedColumnFormula>IFERROR(IF(7-(COUNTBLANK(J6:O6) + COUNTBLANK(Q6))&gt;0,MAX($I5:I$6)+1,""),"")</calculatedColumnFormula>
    </tableColumn>
    <tableColumn id="2" xr3:uid="{ECF469EF-5618-4851-8E8D-428FC73244C7}" name="No. bolsa" dataDxfId="17"/>
    <tableColumn id="3" xr3:uid="{98C9E9BB-D2FD-4BE9-8437-58D992AB8446}" name="No. Cuenta" dataDxfId="16"/>
    <tableColumn id="4" xr3:uid="{BEFBF19E-2B46-4F2A-88D5-98A2DCB4834E}" name="Moneda" dataDxfId="15"/>
    <tableColumn id="5" xr3:uid="{369B9A06-3E4D-4576-B982-641BA48B6E1E}" name="Cheques Locales BAC" dataDxfId="14" dataCellStyle="Comma"/>
    <tableColumn id="6" xr3:uid="{DF7997DE-5CFE-4644-8C1A-5C7591DD22CF}" name="Cheques Locales Otros" dataDxfId="13" dataCellStyle="Comma"/>
    <tableColumn id="7" xr3:uid="{D40422EA-CDD1-4976-A77C-9C1618F23F09}" name="Efectivo" dataDxfId="12" dataCellStyle="Comma"/>
    <tableColumn id="8" xr3:uid="{5EBA816F-93C2-42E5-9925-4434AD21FFFF}" name="Total" dataDxfId="11" dataCellStyle="Comma">
      <calculatedColumnFormula>SUM(M6:O6)</calculatedColumnFormula>
    </tableColumn>
    <tableColumn id="9" xr3:uid="{79468D2A-A1B8-484E-BAF8-688AA6E5E85B}" name="Referencia" dataDxfId="1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BF4B3A-84CF-49C7-AF6E-0ADA859B6F19}" name="Cheques" displayName="Cheques" ref="A1:E51" totalsRowShown="0" headerRowDxfId="7" dataDxfId="6" tableBorderDxfId="5">
  <tableColumns count="5">
    <tableColumn id="5" xr3:uid="{56A45B8A-3658-4F17-B2B3-5D6813C14C69}" name="No. Deposito" dataDxfId="4"/>
    <tableColumn id="1" xr3:uid="{24A368C2-56D0-4E2B-A988-322DAD5D4CF4}" name="No. Cheque" dataDxfId="3"/>
    <tableColumn id="2" xr3:uid="{F357F210-FABD-4569-9091-C6B1037CD2A7}" name="Tipo" dataDxfId="2"/>
    <tableColumn id="3" xr3:uid="{1163A724-3849-4B3B-8029-6FC34E450AD6}" name="Moneda" dataDxfId="1"/>
    <tableColumn id="4" xr3:uid="{CB58B8EE-B14C-4B59-8C7D-CB81A2480E9B}" name="Monto" dataDxfId="0" dataCellStyle="Comma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23/showDataTypeIcons" xmlns:ns4="http://schemas.openxmlformats.org/officeDocument/2006/relationships" ns1:Ignorable="x14ac xr xr2 xr3" ns2:uid="{9A0AF1E7-E0E7-40AE-AF38-AB67C3AB66FC}">
  <dimension ref="C1:W206"/>
  <sheetViews>
    <sheetView showGridLines="0" tabSelected="1" topLeftCell="D1" zoomScaleNormal="100" workbookViewId="0">
      <selection activeCell="J9" sqref="J9"/>
      <extLst>
        <ext uri="{77bfe23e-c014-4d31-8a63-9c772dbf06b6}">
          <ns3:showDataTypeIcons visible="0"/>
        </ext>
      </extLst>
    </sheetView>
  </sheetViews>
  <sheetFormatPr defaultRowHeight="15"/>
  <cols>
    <col min="1" max="1" width="3.5703125" customWidth="1"/>
    <col min="3" max="3" width="1.140625" customWidth="1"/>
    <col min="4" max="4" width="4.42578125" customWidth="1"/>
    <col min="5" max="5" width="5.28515625" customWidth="1"/>
    <col min="9" max="9" width="20" customWidth="1"/>
    <col min="10" max="10" width="23" customWidth="1"/>
    <col min="11" max="11" width="16.140625" customWidth="1"/>
    <col min="12" max="12" width="12.42578125" customWidth="1"/>
    <col min="13" max="13" width="27.7109375" customWidth="1"/>
    <col min="14" max="14" width="29.140625" customWidth="1"/>
    <col min="15" max="15" width="20.5703125" customWidth="1"/>
    <col min="16" max="16" width="25.7109375" customWidth="1"/>
    <col min="17" max="17" width="44.5703125" customWidth="1"/>
    <col min="18" max="18" width="4.28515625" customWidth="1"/>
    <col min="19" max="19" width="29.85546875" bestFit="1" customWidth="1"/>
    <col min="20" max="20" width="18.85546875" customWidth="1"/>
    <col min="21" max="21" width="18.42578125" customWidth="1"/>
    <col min="22" max="22" width="17" customWidth="1"/>
    <col min="23" max="23" width="16.5703125" customWidth="1"/>
  </cols>
  <sheetData>
    <row r="1" spans="3:23">
      <c r="C1" s="10" t="str">
        <f>IF(SUM(C6:C206)&gt;0,"❌","✔️")</f>
        <v>✔️</v>
      </c>
      <c r="D1" s="10" t="str">
        <f>IF(SUM(D6:D206)&gt;0,"❌","✔️")</f>
        <v>✔️</v>
      </c>
      <c r="E1" s="10" t="str">
        <f>IF(SUM(E6:E206)&gt;0,"❌","✔️")</f>
        <v>✔️</v>
      </c>
      <c r="F1" s="10" t="str">
        <f>IF(SUM(F6:F206)&gt;0,"❌","✔️")</f>
        <v>✔️</v>
      </c>
      <c r="I1" s="8" t="str">
        <f>IF(COUNTIFS(I6:I206,"&gt;0")=0,"❌","✔️")</f>
        <v>✔️</v>
      </c>
      <c r="J1" s="8" t="str">
        <f>IF('Cheques'!H1&gt;1,"❌","✔️")</f>
        <v>✔️</v>
      </c>
    </row>
    <row r="2" spans="9:10">
      <c r="I2" t="s">
        <v>30</v>
      </c>
      <c r="J2" s="51" t="inlineStr">
        <is>
          <t>9019999999</t>
        </is>
      </c>
    </row>
    <row r="3" spans="3:23" ht="18.600000000000001" customHeight="1" thickBot="1">
      <c r="I3" s="1" t="s">
        <v>0</v>
      </c>
      <c r="J3" s="1"/>
      <c r="S3" s="26" t="s">
        <v>1</v>
      </c>
      <c r="T3" s="27"/>
      <c r="U3" s="27"/>
      <c r="V3" s="28"/>
    </row>
    <row r="4" spans="3:23">
      <c r="S4" s="12"/>
      <c r="T4" s="7" t="s">
        <v>2</v>
      </c>
      <c r="U4" s="4" t="s">
        <v>3</v>
      </c>
      <c r="V4" s="13" t="s">
        <v>4</v>
      </c>
    </row>
    <row r="5" spans="3:23" ht="15.75" thickBot="1">
      <c r="I5" s="40" t="s">
        <v>5</v>
      </c>
      <c r="J5" s="40" t="s">
        <v>6</v>
      </c>
      <c r="K5" s="41" t="s">
        <v>7</v>
      </c>
      <c r="L5" s="41" t="s">
        <v>8</v>
      </c>
      <c r="M5" s="42" t="s">
        <v>9</v>
      </c>
      <c r="N5" s="42" t="s">
        <v>10</v>
      </c>
      <c r="O5" s="42" t="s">
        <v>11</v>
      </c>
      <c r="P5" s="42" t="s">
        <v>12</v>
      </c>
      <c r="Q5" s="43" t="s">
        <v>13</v>
      </c>
      <c r="R5" s="5"/>
      <c r="S5" s="14" t="s">
        <v>11</v>
      </c>
      <c r="T5" s="11">
        <f>SUMIF(L6:L206,"="&amp;T4,O6:O206)</f>
        <v>1000</v>
      </c>
      <c r="U5" s="11">
        <f>SUMIF(L6:L206,"="&amp;U4,O6:O206)</f>
        <v>400</v>
      </c>
      <c r="V5" s="15">
        <f>SUMIF(L6:L206,"="&amp;V4,O6:O206)</f>
        <v>0</v>
      </c>
      <c r="W5" s="6"/>
    </row>
    <row r="6" spans="3:23">
      <c r="C6" s="8">
        <f>IF(AND(I6&lt;&gt;"",ISBLANK(J6)),1,0)</f>
        <v>0</v>
      </c>
      <c r="D6" s="8">
        <f>IF(AND(I6&lt;&gt;"",ISBLANK(K6)),1,0)</f>
        <v>0</v>
      </c>
      <c r="E6" s="8">
        <f>IF(AND(I6&lt;&gt;"",ISBLANK(L6)),1,0)</f>
        <v>0</v>
      </c>
      <c r="F6" s="8">
        <f>IF(AND(I6&lt;&gt;"",P6&lt;=0),1,0)</f>
        <v>0</v>
      </c>
      <c r="G6" s="8"/>
      <c r="H6" s="9">
        <f>SUM(C6:G6)</f>
        <v>0</v>
      </c>
      <c r="I6" s="39">
        <v>1</v>
      </c>
      <c r="J6" s="44" t="inlineStr">
        <is>
          <t>B-MTX-9</t>
        </is>
      </c>
      <c r="K6" s="45">
        <v>910000001</v>
      </c>
      <c r="L6" s="45" t="inlineStr">
        <is>
          <t>USD</t>
        </is>
      </c>
      <c r="M6" s="46">
        <v>0</v>
      </c>
      <c r="N6" s="46">
        <v>0</v>
      </c>
      <c r="O6" s="46">
        <v>500</v>
      </c>
      <c r="P6" s="36">
        <v>500</v>
      </c>
      <c r="Q6" s="45" t="inlineStr">
        <is>
          <t>Matriz sospechoso</t>
        </is>
      </c>
      <c r="R6" s="3"/>
      <c r="S6" s="14" t="s">
        <v>14</v>
      </c>
      <c r="T6" s="11">
        <f>SUMIF(L6:L206,"="&amp;T4,M6:M206) + SUMIF(L6:L206,"="&amp;T4,N6:N206)</f>
        <v>0</v>
      </c>
      <c r="U6" s="11">
        <f>SUMIF(L6:L206,"="&amp;U4,M6:M206)+SUMIF(L6:L206,"="&amp;U4,N6:N206)</f>
        <v>200</v>
      </c>
      <c r="V6" s="15">
        <f>SUMIF(L6:L206,"="&amp;V4,M6:M206)+SUMIF(L6:L206,"="&amp;V4,N6:N206)</f>
        <v>0</v>
      </c>
      <c r="W6" s="6"/>
    </row>
    <row r="7" spans="3:23">
      <c r="C7" s="8">
        <f t="shared" ref="C7:C70" si="0">IF(AND(I7&lt;&gt;"",ISBLANK(J7)),1,0)</f>
        <v>0</v>
      </c>
      <c r="D7" s="8">
        <f t="shared" ref="D7:D70" si="1">IF(AND(I7&lt;&gt;"",ISBLANK(K7)),1,0)</f>
        <v>0</v>
      </c>
      <c r="E7" s="8">
        <f t="shared" ref="E7:E70" si="2">IF(AND(I7&lt;&gt;"",ISBLANK(L7)),1,0)</f>
        <v>0</v>
      </c>
      <c r="F7" s="8">
        <f t="shared" ref="F7:F70" si="3">IF(AND(I7&lt;&gt;"",P7&lt;=0),1,0)</f>
        <v>0</v>
      </c>
      <c r="G7" s="8"/>
      <c r="H7" s="9">
        <f t="shared" ref="H7:H70" si="4">SUM(C7:G7)</f>
        <v>0</v>
      </c>
      <c r="I7" s="39"/>
      <c r="J7" s="44"/>
      <c r="K7" s="45"/>
      <c r="L7" s="45"/>
      <c r="M7" s="46"/>
      <c r="N7" s="46"/>
      <c r="O7" s="46"/>
      <c r="P7" s="36"/>
      <c r="Q7" s="45"/>
      <c r="R7" s="3"/>
      <c r="S7" s="16" t="s">
        <v>12</v>
      </c>
      <c r="T7" s="17">
        <f>SUM(T5:T6)</f>
        <v>1000</v>
      </c>
      <c r="U7" s="17">
        <f>SUM(U5:U6)</f>
        <v>600</v>
      </c>
      <c r="V7" s="18">
        <f>SUM(V5:V6)</f>
        <v>0</v>
      </c>
      <c r="W7" s="6"/>
    </row>
    <row r="8" spans="3:23">
      <c r="C8" s="8">
        <f t="shared" si="0"/>
        <v>0</v>
      </c>
      <c r="D8" s="8">
        <f t="shared" si="1"/>
        <v>0</v>
      </c>
      <c r="E8" s="8">
        <f t="shared" si="2"/>
        <v>0</v>
      </c>
      <c r="F8" s="8">
        <f t="shared" si="3"/>
        <v>0</v>
      </c>
      <c r="G8" s="8"/>
      <c r="H8" s="9">
        <f t="shared" si="4"/>
        <v>0</v>
      </c>
      <c r="I8" s="39"/>
      <c r="J8" s="44"/>
      <c r="K8" s="45"/>
      <c r="L8" s="45"/>
      <c r="M8" s="46"/>
      <c r="N8" s="46"/>
      <c r="O8" s="46"/>
      <c r="P8" s="36"/>
      <c r="Q8" s="45"/>
      <c r="R8" s="3"/>
      <c r="T8" s="2"/>
    </row>
    <row r="9" spans="3:23">
      <c r="C9" s="8">
        <f t="shared" si="0"/>
        <v>0</v>
      </c>
      <c r="D9" s="8">
        <f t="shared" si="1"/>
        <v>0</v>
      </c>
      <c r="E9" s="8">
        <f t="shared" si="2"/>
        <v>0</v>
      </c>
      <c r="F9" s="8">
        <f t="shared" si="3"/>
        <v>0</v>
      </c>
      <c r="G9" s="8"/>
      <c r="H9" s="9">
        <f t="shared" si="4"/>
        <v>0</v>
      </c>
      <c r="I9" s="39"/>
      <c r="J9" s="44"/>
      <c r="K9" s="45"/>
      <c r="L9" s="45"/>
      <c r="M9" s="46"/>
      <c r="N9" s="46"/>
      <c r="O9" s="46"/>
      <c r="P9" s="36"/>
      <c r="Q9" s="45"/>
      <c r="R9" s="3"/>
      <c r="T9" s="2"/>
    </row>
    <row r="10" spans="3:23" ht="15.75" thickBot="1">
      <c r="C10" s="8">
        <f t="shared" si="0"/>
        <v>0</v>
      </c>
      <c r="D10" s="8">
        <f t="shared" si="1"/>
        <v>0</v>
      </c>
      <c r="E10" s="8">
        <f t="shared" si="2"/>
        <v>0</v>
      </c>
      <c r="F10" s="8">
        <f t="shared" si="3"/>
        <v>0</v>
      </c>
      <c r="G10" s="8"/>
      <c r="H10" s="9">
        <f t="shared" si="4"/>
        <v>0</v>
      </c>
      <c r="I10" s="39"/>
      <c r="J10" s="44"/>
      <c r="K10" s="45"/>
      <c r="L10" s="45"/>
      <c r="M10" s="46"/>
      <c r="N10" s="46"/>
      <c r="O10" s="46"/>
      <c r="P10" s="36"/>
      <c r="Q10" s="45"/>
      <c r="R10" s="3"/>
      <c r="S10" s="29" t="s">
        <v>15</v>
      </c>
      <c r="T10" s="30"/>
      <c r="U10" s="30"/>
      <c r="V10" s="31" t="str">
        <f>IF(OR(T14&lt;&gt;0,U14&lt;&gt;0,V14&lt;&gt;0),"❌","✔️")</f>
        <v>✔️</v>
      </c>
    </row>
    <row r="11" spans="3:23">
      <c r="C11" s="8">
        <f t="shared" si="0"/>
        <v>0</v>
      </c>
      <c r="D11" s="8">
        <f t="shared" si="1"/>
        <v>0</v>
      </c>
      <c r="E11" s="8">
        <f t="shared" si="2"/>
        <v>0</v>
      </c>
      <c r="F11" s="8">
        <f t="shared" si="3"/>
        <v>0</v>
      </c>
      <c r="G11" s="8"/>
      <c r="H11" s="9">
        <f t="shared" si="4"/>
        <v>0</v>
      </c>
      <c r="I11" s="39"/>
      <c r="J11" s="44"/>
      <c r="K11" s="45"/>
      <c r="L11" s="45"/>
      <c r="M11" s="46"/>
      <c r="N11" s="46"/>
      <c r="O11" s="46"/>
      <c r="P11" s="36"/>
      <c r="Q11" s="45"/>
      <c r="R11" s="3"/>
      <c r="S11" s="12"/>
      <c r="T11" s="7" t="s">
        <v>2</v>
      </c>
      <c r="U11" s="4" t="s">
        <v>3</v>
      </c>
      <c r="V11" s="13" t="s">
        <v>4</v>
      </c>
    </row>
    <row r="12" spans="3:23">
      <c r="C12" s="8">
        <f t="shared" si="0"/>
        <v>0</v>
      </c>
      <c r="D12" s="8">
        <f t="shared" si="1"/>
        <v>0</v>
      </c>
      <c r="E12" s="8">
        <f t="shared" si="2"/>
        <v>0</v>
      </c>
      <c r="F12" s="8">
        <f t="shared" si="3"/>
        <v>0</v>
      </c>
      <c r="G12" s="8"/>
      <c r="H12" s="9">
        <f t="shared" si="4"/>
        <v>0</v>
      </c>
      <c r="I12" s="39"/>
      <c r="J12" s="44"/>
      <c r="K12" s="45"/>
      <c r="L12" s="45"/>
      <c r="M12" s="46"/>
      <c r="N12" s="46"/>
      <c r="O12" s="46"/>
      <c r="P12" s="36"/>
      <c r="Q12" s="45"/>
      <c r="R12" s="3"/>
      <c r="S12" s="14" t="s">
        <v>0</v>
      </c>
      <c r="T12" s="11">
        <f>SUMIF($L$6:$L$206,"="&amp;T11,$M$6:$M$206)+SUMIF($L$6:$L$206,"="&amp;T11,$N$6:$N$206)</f>
        <v>0</v>
      </c>
      <c r="U12" s="11">
        <f>SUMIF($L$6:$L$206,"="&amp;U11,$M$6:$M$206)+SUMIF($L$6:$L$206,"="&amp;U11,$N$6:$N$206)</f>
        <v>200</v>
      </c>
      <c r="V12" s="15">
        <f>SUMIF($L$6:$L$206,"="&amp;V11,$M$6:$M$206)+SUMIF($L$6:$L$206,"="&amp;V11,$N$6:$N$206)</f>
        <v>0</v>
      </c>
    </row>
    <row r="13" spans="3:23">
      <c r="C13" s="8">
        <f t="shared" si="0"/>
        <v>0</v>
      </c>
      <c r="D13" s="8">
        <f t="shared" si="1"/>
        <v>0</v>
      </c>
      <c r="E13" s="8">
        <f t="shared" si="2"/>
        <v>0</v>
      </c>
      <c r="F13" s="8">
        <f t="shared" si="3"/>
        <v>0</v>
      </c>
      <c r="G13" s="8"/>
      <c r="H13" s="9">
        <f t="shared" si="4"/>
        <v>0</v>
      </c>
      <c r="I13" s="39"/>
      <c r="J13" s="44"/>
      <c r="K13" s="45"/>
      <c r="L13" s="45"/>
      <c r="M13" s="46"/>
      <c r="N13" s="46"/>
      <c r="O13" s="46"/>
      <c r="P13" s="36"/>
      <c r="Q13" s="45"/>
      <c r="R13" s="3"/>
      <c r="S13" s="14" t="s">
        <v>16</v>
      </c>
      <c r="T13" s="11">
        <f>SUMIFS('Cheques'!$E$2:$E$51,'Cheques'!$F$2:$F$51,"=0",'Cheques'!$D$2:$D$51,"="&amp;Depositos!T11)</f>
        <v>0</v>
      </c>
      <c r="U13" s="11">
        <f>SUMIFS('Cheques'!$E$2:$E$51,'Cheques'!$F$2:$F$51,"=0",'Cheques'!$D$2:$D$51,"="&amp;Depositos!U11)</f>
        <v>200</v>
      </c>
      <c r="V13" s="15">
        <f>SUMIFS('Cheques'!$E$2:$E$51,'Cheques'!$F$2:$F$51,"=0",'Cheques'!$D$2:$D$51,"="&amp;Depositos!V11)</f>
        <v>0</v>
      </c>
    </row>
    <row r="14" spans="3:23">
      <c r="C14" s="8">
        <f t="shared" si="0"/>
        <v>0</v>
      </c>
      <c r="D14" s="8">
        <f t="shared" si="1"/>
        <v>0</v>
      </c>
      <c r="E14" s="8">
        <f t="shared" si="2"/>
        <v>0</v>
      </c>
      <c r="F14" s="8">
        <f t="shared" si="3"/>
        <v>0</v>
      </c>
      <c r="G14" s="8"/>
      <c r="H14" s="9">
        <f t="shared" si="4"/>
        <v>0</v>
      </c>
      <c r="I14" s="39"/>
      <c r="J14" s="44"/>
      <c r="K14" s="45"/>
      <c r="L14" s="45"/>
      <c r="M14" s="46"/>
      <c r="N14" s="46"/>
      <c r="O14" s="46"/>
      <c r="P14" s="36"/>
      <c r="Q14" s="45"/>
      <c r="R14" s="3"/>
      <c r="S14" s="16" t="s">
        <v>17</v>
      </c>
      <c r="T14" s="19">
        <f>T12-T13</f>
        <v>0</v>
      </c>
      <c r="U14" s="19">
        <f>U12-U13</f>
        <v>0</v>
      </c>
      <c r="V14" s="20">
        <f>V12-V13</f>
        <v>0</v>
      </c>
    </row>
    <row r="15" spans="3:23">
      <c r="C15" s="8">
        <f t="shared" si="0"/>
        <v>0</v>
      </c>
      <c r="D15" s="8">
        <f t="shared" si="1"/>
        <v>0</v>
      </c>
      <c r="E15" s="8">
        <f t="shared" si="2"/>
        <v>0</v>
      </c>
      <c r="F15" s="8">
        <f t="shared" si="3"/>
        <v>0</v>
      </c>
      <c r="G15" s="8"/>
      <c r="H15" s="9">
        <f t="shared" si="4"/>
        <v>0</v>
      </c>
      <c r="I15" s="39"/>
      <c r="J15" s="44"/>
      <c r="K15" s="45"/>
      <c r="L15" s="45"/>
      <c r="M15" s="46"/>
      <c r="N15" s="46"/>
      <c r="O15" s="46"/>
      <c r="P15" s="36"/>
      <c r="Q15" s="45"/>
      <c r="R15" s="3"/>
      <c r="S15" s="2"/>
      <c r="T15" s="2"/>
      <c r="U15" s="6"/>
    </row>
    <row r="16" spans="3:23">
      <c r="C16" s="8">
        <f t="shared" si="0"/>
        <v>0</v>
      </c>
      <c r="D16" s="8">
        <f t="shared" si="1"/>
        <v>0</v>
      </c>
      <c r="E16" s="8">
        <f t="shared" si="2"/>
        <v>0</v>
      </c>
      <c r="F16" s="8">
        <f t="shared" si="3"/>
        <v>0</v>
      </c>
      <c r="G16" s="8"/>
      <c r="H16" s="9">
        <f t="shared" si="4"/>
        <v>0</v>
      </c>
      <c r="I16" s="39"/>
      <c r="J16" s="44"/>
      <c r="K16" s="45"/>
      <c r="L16" s="45"/>
      <c r="M16" s="46"/>
      <c r="N16" s="46"/>
      <c r="O16" s="46"/>
      <c r="P16" s="36"/>
      <c r="Q16" s="45"/>
      <c r="R16" s="3"/>
      <c r="T16" s="2"/>
    </row>
    <row r="17" spans="3:23" ht="15.75" thickBot="1">
      <c r="C17" s="8">
        <f t="shared" si="0"/>
        <v>0</v>
      </c>
      <c r="D17" s="8">
        <f t="shared" si="1"/>
        <v>0</v>
      </c>
      <c r="E17" s="8">
        <f t="shared" si="2"/>
        <v>0</v>
      </c>
      <c r="F17" s="8">
        <f t="shared" si="3"/>
        <v>0</v>
      </c>
      <c r="G17" s="8"/>
      <c r="H17" s="9">
        <f t="shared" si="4"/>
        <v>0</v>
      </c>
      <c r="I17" s="39"/>
      <c r="J17" s="44"/>
      <c r="K17" s="45"/>
      <c r="L17" s="45"/>
      <c r="M17" s="46"/>
      <c r="N17" s="46"/>
      <c r="O17" s="46"/>
      <c r="P17" s="36"/>
      <c r="Q17" s="45"/>
      <c r="R17" s="3"/>
      <c r="S17" s="32" t="s">
        <v>18</v>
      </c>
      <c r="T17" s="33"/>
      <c r="U17" s="34"/>
      <c r="V17" s="35"/>
    </row>
    <row r="18" spans="3:23">
      <c r="C18" s="8">
        <f t="shared" si="0"/>
        <v>0</v>
      </c>
      <c r="D18" s="8">
        <f t="shared" si="1"/>
        <v>0</v>
      </c>
      <c r="E18" s="8">
        <f t="shared" si="2"/>
        <v>0</v>
      </c>
      <c r="F18" s="8">
        <f t="shared" si="3"/>
        <v>0</v>
      </c>
      <c r="G18" s="8"/>
      <c r="H18" s="9">
        <f t="shared" si="4"/>
        <v>0</v>
      </c>
      <c r="I18" s="39"/>
      <c r="J18" s="44"/>
      <c r="K18" s="45"/>
      <c r="L18" s="45"/>
      <c r="M18" s="46"/>
      <c r="N18" s="46"/>
      <c r="O18" s="46"/>
      <c r="P18" s="36"/>
      <c r="Q18" s="45"/>
      <c r="R18" s="3"/>
      <c r="S18" s="12"/>
      <c r="T18" s="7" t="s">
        <v>2</v>
      </c>
      <c r="U18" s="4" t="s">
        <v>3</v>
      </c>
      <c r="V18" s="13" t="s">
        <v>4</v>
      </c>
      <c r="W18" s="8" t="str">
        <f>IF(SUM(W19:W38)&gt;0,"❌","✔️")</f>
        <v>✔️</v>
      </c>
    </row>
    <row r="19" spans="3:23">
      <c r="C19" s="8">
        <f t="shared" si="0"/>
        <v>0</v>
      </c>
      <c r="D19" s="8">
        <f t="shared" si="1"/>
        <v>0</v>
      </c>
      <c r="E19" s="8">
        <f t="shared" si="2"/>
        <v>0</v>
      </c>
      <c r="F19" s="8">
        <f t="shared" si="3"/>
        <v>0</v>
      </c>
      <c r="G19" s="8"/>
      <c r="H19" s="9">
        <f t="shared" si="4"/>
        <v>0</v>
      </c>
      <c r="I19" s="39"/>
      <c r="J19" s="44"/>
      <c r="K19" s="45"/>
      <c r="L19" s="45"/>
      <c r="M19" s="46"/>
      <c r="N19" s="46"/>
      <c r="O19" s="46"/>
      <c r="P19" s="36"/>
      <c r="Q19" s="45"/>
      <c r="R19" s="3"/>
      <c r="S19" s="21" cm="1">
        <f t="array" ref="S19:S20">_xlfn.UNIQUE(_xlfn._xlws.FILTER(K6:K206,K6:K206&lt;&gt;""))</f>
        <v>366789987</v>
      </c>
      <c r="T19" s="11">
        <f>SUMIFS($P$6:$P$206,$L$6:$L$206,"="&amp;T$18,$K$6:$K$206,"="&amp;$S19,$K$6:$K$206,"&lt;&gt;"&amp;"")</f>
        <v>0</v>
      </c>
      <c r="U19" s="11">
        <f>SUMIFS($P$6:$P$206,$L$6:$L$206,"="&amp;U$18,$K$6:$K$206,"="&amp;$S19,$K$6:$K$206,"&lt;&gt;"&amp;"")</f>
        <v>600</v>
      </c>
      <c r="V19" s="15">
        <f>SUMIFS($P$6:$P$206,$L$6:$L$206,"="&amp;V$18,$K$6:$K$206,"="&amp;$S19,$K$6:$K$206,"&lt;&gt;"&amp;"")</f>
        <v>0</v>
      </c>
      <c r="W19" s="8">
        <f t="shared" ref="W19:W38" si="6">IF(COUNTIF(T19:V19,"&gt;0")&gt;1,1,0)</f>
        <v>0</v>
      </c>
    </row>
    <row r="20" spans="3:23">
      <c r="C20" s="8">
        <f t="shared" si="0"/>
        <v>0</v>
      </c>
      <c r="D20" s="8">
        <f t="shared" si="1"/>
        <v>0</v>
      </c>
      <c r="E20" s="8">
        <f t="shared" si="2"/>
        <v>0</v>
      </c>
      <c r="F20" s="8">
        <f t="shared" si="3"/>
        <v>0</v>
      </c>
      <c r="G20" s="8"/>
      <c r="H20" s="9">
        <f t="shared" si="4"/>
        <v>0</v>
      </c>
      <c r="I20" s="39"/>
      <c r="J20" s="44"/>
      <c r="K20" s="45"/>
      <c r="L20" s="45"/>
      <c r="M20" s="46"/>
      <c r="N20" s="46"/>
      <c r="O20" s="46"/>
      <c r="P20" s="36"/>
      <c r="Q20" s="45"/>
      <c r="R20" s="3"/>
      <c r="S20" s="21">
        <v>366789988</v>
      </c>
      <c r="T20" s="11">
        <f t="shared" ref="T20:V38" si="7">SUMIFS($P$6:$P$206,$L$6:$L$206,"="&amp;T$18,$K$6:$K$206,"="&amp;$S20,$K$6:$K$206,"&lt;&gt;"&amp;"")</f>
        <v>1000</v>
      </c>
      <c r="U20" s="11">
        <f t="shared" si="7"/>
        <v>0</v>
      </c>
      <c r="V20" s="15">
        <f t="shared" si="7"/>
        <v>0</v>
      </c>
      <c r="W20" s="8">
        <f t="shared" si="6"/>
        <v>0</v>
      </c>
    </row>
    <row r="21" spans="3:23">
      <c r="C21" s="8">
        <f t="shared" si="0"/>
        <v>0</v>
      </c>
      <c r="D21" s="8">
        <f t="shared" si="1"/>
        <v>0</v>
      </c>
      <c r="E21" s="8">
        <f t="shared" si="2"/>
        <v>0</v>
      </c>
      <c r="F21" s="8">
        <f t="shared" si="3"/>
        <v>0</v>
      </c>
      <c r="G21" s="8"/>
      <c r="H21" s="9">
        <f t="shared" si="4"/>
        <v>0</v>
      </c>
      <c r="I21" s="39"/>
      <c r="J21" s="44"/>
      <c r="K21" s="45"/>
      <c r="L21" s="45"/>
      <c r="M21" s="46"/>
      <c r="N21" s="46"/>
      <c r="O21" s="46"/>
      <c r="P21" s="36"/>
      <c r="Q21" s="45"/>
      <c r="R21" s="3"/>
      <c r="S21" s="21"/>
      <c r="T21" s="11">
        <f t="shared" si="7"/>
        <v>0</v>
      </c>
      <c r="U21" s="11">
        <f t="shared" si="7"/>
        <v>0</v>
      </c>
      <c r="V21" s="15">
        <f t="shared" si="7"/>
        <v>0</v>
      </c>
      <c r="W21" s="8">
        <f t="shared" si="6"/>
        <v>0</v>
      </c>
    </row>
    <row r="22" spans="3:23">
      <c r="C22" s="8">
        <f t="shared" si="0"/>
        <v>0</v>
      </c>
      <c r="D22" s="8">
        <f t="shared" si="1"/>
        <v>0</v>
      </c>
      <c r="E22" s="8">
        <f t="shared" si="2"/>
        <v>0</v>
      </c>
      <c r="F22" s="8">
        <f t="shared" si="3"/>
        <v>0</v>
      </c>
      <c r="G22" s="8"/>
      <c r="H22" s="9">
        <f t="shared" si="4"/>
        <v>0</v>
      </c>
      <c r="I22" s="39"/>
      <c r="J22" s="44"/>
      <c r="K22" s="45"/>
      <c r="L22" s="45"/>
      <c r="M22" s="46"/>
      <c r="N22" s="46"/>
      <c r="O22" s="46"/>
      <c r="P22" s="36"/>
      <c r="Q22" s="45"/>
      <c r="R22" s="3"/>
      <c r="S22" s="22"/>
      <c r="T22" s="11">
        <f t="shared" si="7"/>
        <v>0</v>
      </c>
      <c r="U22" s="11">
        <f t="shared" si="7"/>
        <v>0</v>
      </c>
      <c r="V22" s="15">
        <f t="shared" si="7"/>
        <v>0</v>
      </c>
      <c r="W22" s="8">
        <f t="shared" si="6"/>
        <v>0</v>
      </c>
    </row>
    <row r="23" spans="3:23">
      <c r="C23" s="8">
        <f t="shared" si="0"/>
        <v>0</v>
      </c>
      <c r="D23" s="8">
        <f t="shared" si="1"/>
        <v>0</v>
      </c>
      <c r="E23" s="8">
        <f t="shared" si="2"/>
        <v>0</v>
      </c>
      <c r="F23" s="8">
        <f t="shared" si="3"/>
        <v>0</v>
      </c>
      <c r="G23" s="8"/>
      <c r="H23" s="9">
        <f t="shared" si="4"/>
        <v>0</v>
      </c>
      <c r="I23" s="39"/>
      <c r="J23" s="44"/>
      <c r="K23" s="45"/>
      <c r="L23" s="45"/>
      <c r="M23" s="46"/>
      <c r="N23" s="46"/>
      <c r="O23" s="46"/>
      <c r="P23" s="36"/>
      <c r="Q23" s="45"/>
      <c r="R23" s="3"/>
      <c r="S23" s="21"/>
      <c r="T23" s="11">
        <f t="shared" si="7"/>
        <v>0</v>
      </c>
      <c r="U23" s="11">
        <f t="shared" si="7"/>
        <v>0</v>
      </c>
      <c r="V23" s="15">
        <f t="shared" si="7"/>
        <v>0</v>
      </c>
      <c r="W23" s="8">
        <f t="shared" si="6"/>
        <v>0</v>
      </c>
    </row>
    <row r="24" spans="3:23">
      <c r="C24" s="8">
        <f t="shared" si="0"/>
        <v>0</v>
      </c>
      <c r="D24" s="8">
        <f t="shared" si="1"/>
        <v>0</v>
      </c>
      <c r="E24" s="8">
        <f t="shared" si="2"/>
        <v>0</v>
      </c>
      <c r="F24" s="8">
        <f t="shared" si="3"/>
        <v>0</v>
      </c>
      <c r="G24" s="8"/>
      <c r="H24" s="9">
        <f t="shared" si="4"/>
        <v>0</v>
      </c>
      <c r="I24" s="39"/>
      <c r="J24" s="44"/>
      <c r="K24" s="45"/>
      <c r="L24" s="45"/>
      <c r="M24" s="46"/>
      <c r="N24" s="46"/>
      <c r="O24" s="46"/>
      <c r="P24" s="36"/>
      <c r="Q24" s="45"/>
      <c r="R24" s="3"/>
      <c r="S24" s="21"/>
      <c r="T24" s="11">
        <f t="shared" si="7"/>
        <v>0</v>
      </c>
      <c r="U24" s="11">
        <f t="shared" si="7"/>
        <v>0</v>
      </c>
      <c r="V24" s="15">
        <f t="shared" si="7"/>
        <v>0</v>
      </c>
      <c r="W24" s="8">
        <f t="shared" si="6"/>
        <v>0</v>
      </c>
    </row>
    <row r="25" spans="3:23">
      <c r="C25" s="8">
        <f t="shared" si="0"/>
        <v>0</v>
      </c>
      <c r="D25" s="8">
        <f t="shared" si="1"/>
        <v>0</v>
      </c>
      <c r="E25" s="8">
        <f t="shared" si="2"/>
        <v>0</v>
      </c>
      <c r="F25" s="8">
        <f t="shared" si="3"/>
        <v>0</v>
      </c>
      <c r="G25" s="8"/>
      <c r="H25" s="9">
        <f t="shared" si="4"/>
        <v>0</v>
      </c>
      <c r="I25" s="39"/>
      <c r="J25" s="44"/>
      <c r="K25" s="45"/>
      <c r="L25" s="45"/>
      <c r="M25" s="46"/>
      <c r="N25" s="46"/>
      <c r="O25" s="46"/>
      <c r="P25" s="36"/>
      <c r="Q25" s="45"/>
      <c r="R25" s="3"/>
      <c r="S25" s="21"/>
      <c r="T25" s="11">
        <f t="shared" si="7"/>
        <v>0</v>
      </c>
      <c r="U25" s="11">
        <f t="shared" si="7"/>
        <v>0</v>
      </c>
      <c r="V25" s="15">
        <f t="shared" si="7"/>
        <v>0</v>
      </c>
      <c r="W25" s="8">
        <f t="shared" si="6"/>
        <v>0</v>
      </c>
    </row>
    <row r="26" spans="3:23">
      <c r="C26" s="8">
        <f t="shared" si="0"/>
        <v>0</v>
      </c>
      <c r="D26" s="8">
        <f t="shared" si="1"/>
        <v>0</v>
      </c>
      <c r="E26" s="8">
        <f t="shared" si="2"/>
        <v>0</v>
      </c>
      <c r="F26" s="8">
        <f t="shared" si="3"/>
        <v>0</v>
      </c>
      <c r="G26" s="8"/>
      <c r="H26" s="9">
        <f t="shared" si="4"/>
        <v>0</v>
      </c>
      <c r="I26" s="39"/>
      <c r="J26" s="44"/>
      <c r="K26" s="45"/>
      <c r="L26" s="45"/>
      <c r="M26" s="46"/>
      <c r="N26" s="46"/>
      <c r="O26" s="46"/>
      <c r="P26" s="36"/>
      <c r="Q26" s="45"/>
      <c r="R26" s="3"/>
      <c r="S26" s="21"/>
      <c r="T26" s="11">
        <f t="shared" si="7"/>
        <v>0</v>
      </c>
      <c r="U26" s="11">
        <f t="shared" si="7"/>
        <v>0</v>
      </c>
      <c r="V26" s="15">
        <f t="shared" si="7"/>
        <v>0</v>
      </c>
      <c r="W26" s="8">
        <f t="shared" si="6"/>
        <v>0</v>
      </c>
    </row>
    <row r="27" spans="3:23">
      <c r="C27" s="8">
        <f t="shared" si="0"/>
        <v>0</v>
      </c>
      <c r="D27" s="8">
        <f t="shared" si="1"/>
        <v>0</v>
      </c>
      <c r="E27" s="8">
        <f t="shared" si="2"/>
        <v>0</v>
      </c>
      <c r="F27" s="8">
        <f t="shared" si="3"/>
        <v>0</v>
      </c>
      <c r="G27" s="8"/>
      <c r="H27" s="9">
        <f t="shared" si="4"/>
        <v>0</v>
      </c>
      <c r="I27" s="39"/>
      <c r="J27" s="44"/>
      <c r="K27" s="45"/>
      <c r="L27" s="45"/>
      <c r="M27" s="46"/>
      <c r="N27" s="46"/>
      <c r="O27" s="46"/>
      <c r="P27" s="36"/>
      <c r="Q27" s="45"/>
      <c r="R27" s="3"/>
      <c r="S27" s="21"/>
      <c r="T27" s="11">
        <f t="shared" si="7"/>
        <v>0</v>
      </c>
      <c r="U27" s="11">
        <f t="shared" si="7"/>
        <v>0</v>
      </c>
      <c r="V27" s="15">
        <f t="shared" si="7"/>
        <v>0</v>
      </c>
      <c r="W27" s="8">
        <f t="shared" si="6"/>
        <v>0</v>
      </c>
    </row>
    <row r="28" spans="3:23">
      <c r="C28" s="8">
        <f t="shared" si="0"/>
        <v>0</v>
      </c>
      <c r="D28" s="8">
        <f t="shared" si="1"/>
        <v>0</v>
      </c>
      <c r="E28" s="8">
        <f t="shared" si="2"/>
        <v>0</v>
      </c>
      <c r="F28" s="8">
        <f t="shared" si="3"/>
        <v>0</v>
      </c>
      <c r="G28" s="8"/>
      <c r="H28" s="9">
        <f t="shared" si="4"/>
        <v>0</v>
      </c>
      <c r="I28" s="39"/>
      <c r="J28" s="44"/>
      <c r="K28" s="45"/>
      <c r="L28" s="45"/>
      <c r="M28" s="46"/>
      <c r="N28" s="46"/>
      <c r="O28" s="46"/>
      <c r="P28" s="36"/>
      <c r="Q28" s="45"/>
      <c r="R28" s="3"/>
      <c r="S28" s="21"/>
      <c r="T28" s="11">
        <f t="shared" si="7"/>
        <v>0</v>
      </c>
      <c r="U28" s="11">
        <f t="shared" si="7"/>
        <v>0</v>
      </c>
      <c r="V28" s="15">
        <f t="shared" si="7"/>
        <v>0</v>
      </c>
      <c r="W28" s="8">
        <f t="shared" si="6"/>
        <v>0</v>
      </c>
    </row>
    <row r="29" spans="3:23">
      <c r="C29" s="8">
        <f t="shared" si="0"/>
        <v>0</v>
      </c>
      <c r="D29" s="8">
        <f t="shared" si="1"/>
        <v>0</v>
      </c>
      <c r="E29" s="8">
        <f t="shared" si="2"/>
        <v>0</v>
      </c>
      <c r="F29" s="8">
        <f t="shared" si="3"/>
        <v>0</v>
      </c>
      <c r="G29" s="8"/>
      <c r="H29" s="9">
        <f t="shared" si="4"/>
        <v>0</v>
      </c>
      <c r="I29" s="39"/>
      <c r="J29" s="44"/>
      <c r="K29" s="45"/>
      <c r="L29" s="45"/>
      <c r="M29" s="46"/>
      <c r="N29" s="46"/>
      <c r="O29" s="46"/>
      <c r="P29" s="36"/>
      <c r="Q29" s="45"/>
      <c r="R29" s="3"/>
      <c r="S29" s="21"/>
      <c r="T29" s="11">
        <f t="shared" si="7"/>
        <v>0</v>
      </c>
      <c r="U29" s="11">
        <f t="shared" si="7"/>
        <v>0</v>
      </c>
      <c r="V29" s="15">
        <f t="shared" si="7"/>
        <v>0</v>
      </c>
      <c r="W29" s="8">
        <f t="shared" si="6"/>
        <v>0</v>
      </c>
    </row>
    <row r="30" spans="3:23">
      <c r="C30" s="8">
        <f t="shared" si="0"/>
        <v>0</v>
      </c>
      <c r="D30" s="8">
        <f t="shared" si="1"/>
        <v>0</v>
      </c>
      <c r="E30" s="8">
        <f t="shared" si="2"/>
        <v>0</v>
      </c>
      <c r="F30" s="8">
        <f t="shared" si="3"/>
        <v>0</v>
      </c>
      <c r="G30" s="8"/>
      <c r="H30" s="9">
        <f t="shared" si="4"/>
        <v>0</v>
      </c>
      <c r="I30" s="39"/>
      <c r="J30" s="44"/>
      <c r="K30" s="45"/>
      <c r="L30" s="45"/>
      <c r="M30" s="46"/>
      <c r="N30" s="46"/>
      <c r="O30" s="46"/>
      <c r="P30" s="36"/>
      <c r="Q30" s="45"/>
      <c r="R30" s="3"/>
      <c r="S30" s="21"/>
      <c r="T30" s="11">
        <f t="shared" si="7"/>
        <v>0</v>
      </c>
      <c r="U30" s="11">
        <f t="shared" si="7"/>
        <v>0</v>
      </c>
      <c r="V30" s="15">
        <f t="shared" si="7"/>
        <v>0</v>
      </c>
      <c r="W30" s="8">
        <f t="shared" si="6"/>
        <v>0</v>
      </c>
    </row>
    <row r="31" spans="3:23">
      <c r="C31" s="8">
        <f t="shared" si="0"/>
        <v>0</v>
      </c>
      <c r="D31" s="8">
        <f t="shared" si="1"/>
        <v>0</v>
      </c>
      <c r="E31" s="8">
        <f t="shared" si="2"/>
        <v>0</v>
      </c>
      <c r="F31" s="8">
        <f t="shared" si="3"/>
        <v>0</v>
      </c>
      <c r="G31" s="8"/>
      <c r="H31" s="9">
        <f t="shared" si="4"/>
        <v>0</v>
      </c>
      <c r="I31" s="39"/>
      <c r="J31" s="44"/>
      <c r="K31" s="45"/>
      <c r="L31" s="45"/>
      <c r="M31" s="46"/>
      <c r="N31" s="46"/>
      <c r="O31" s="46"/>
      <c r="P31" s="36"/>
      <c r="Q31" s="45"/>
      <c r="R31" s="3"/>
      <c r="S31" s="21"/>
      <c r="T31" s="11">
        <f t="shared" si="7"/>
        <v>0</v>
      </c>
      <c r="U31" s="11">
        <f t="shared" si="7"/>
        <v>0</v>
      </c>
      <c r="V31" s="15">
        <f t="shared" si="7"/>
        <v>0</v>
      </c>
      <c r="W31" s="8">
        <f t="shared" si="6"/>
        <v>0</v>
      </c>
    </row>
    <row r="32" spans="3:23">
      <c r="C32" s="8">
        <f t="shared" si="0"/>
        <v>0</v>
      </c>
      <c r="D32" s="8">
        <f t="shared" si="1"/>
        <v>0</v>
      </c>
      <c r="E32" s="8">
        <f t="shared" si="2"/>
        <v>0</v>
      </c>
      <c r="F32" s="8">
        <f t="shared" si="3"/>
        <v>0</v>
      </c>
      <c r="G32" s="8"/>
      <c r="H32" s="9">
        <f t="shared" si="4"/>
        <v>0</v>
      </c>
      <c r="I32" s="39"/>
      <c r="J32" s="44"/>
      <c r="K32" s="45"/>
      <c r="L32" s="45"/>
      <c r="M32" s="46"/>
      <c r="N32" s="46"/>
      <c r="O32" s="46"/>
      <c r="P32" s="36"/>
      <c r="Q32" s="45"/>
      <c r="R32" s="3"/>
      <c r="S32" s="22"/>
      <c r="T32" s="11">
        <f t="shared" si="7"/>
        <v>0</v>
      </c>
      <c r="U32" s="11">
        <f t="shared" si="7"/>
        <v>0</v>
      </c>
      <c r="V32" s="15">
        <f t="shared" si="7"/>
        <v>0</v>
      </c>
      <c r="W32" s="8">
        <f t="shared" si="6"/>
        <v>0</v>
      </c>
    </row>
    <row r="33" spans="3:23">
      <c r="C33" s="8">
        <f t="shared" si="0"/>
        <v>0</v>
      </c>
      <c r="D33" s="8">
        <f t="shared" si="1"/>
        <v>0</v>
      </c>
      <c r="E33" s="8">
        <f t="shared" si="2"/>
        <v>0</v>
      </c>
      <c r="F33" s="8">
        <f t="shared" si="3"/>
        <v>0</v>
      </c>
      <c r="G33" s="8"/>
      <c r="H33" s="9">
        <f t="shared" si="4"/>
        <v>0</v>
      </c>
      <c r="I33" s="39"/>
      <c r="J33" s="44"/>
      <c r="K33" s="45"/>
      <c r="L33" s="45"/>
      <c r="M33" s="46"/>
      <c r="N33" s="46"/>
      <c r="O33" s="46"/>
      <c r="P33" s="36"/>
      <c r="Q33" s="45"/>
      <c r="R33" s="3"/>
      <c r="S33" s="22"/>
      <c r="T33" s="11">
        <f t="shared" si="7"/>
        <v>0</v>
      </c>
      <c r="U33" s="11">
        <f t="shared" si="7"/>
        <v>0</v>
      </c>
      <c r="V33" s="15">
        <f t="shared" si="7"/>
        <v>0</v>
      </c>
      <c r="W33" s="8">
        <f t="shared" si="6"/>
        <v>0</v>
      </c>
    </row>
    <row r="34" spans="3:23">
      <c r="C34" s="8">
        <f t="shared" si="0"/>
        <v>0</v>
      </c>
      <c r="D34" s="8">
        <f t="shared" si="1"/>
        <v>0</v>
      </c>
      <c r="E34" s="8">
        <f t="shared" si="2"/>
        <v>0</v>
      </c>
      <c r="F34" s="8">
        <f t="shared" si="3"/>
        <v>0</v>
      </c>
      <c r="G34" s="8"/>
      <c r="H34" s="9">
        <f t="shared" si="4"/>
        <v>0</v>
      </c>
      <c r="I34" s="39"/>
      <c r="J34" s="44"/>
      <c r="K34" s="45"/>
      <c r="L34" s="45"/>
      <c r="M34" s="46"/>
      <c r="N34" s="46"/>
      <c r="O34" s="46"/>
      <c r="P34" s="36"/>
      <c r="Q34" s="45"/>
      <c r="R34" s="3"/>
      <c r="S34" s="21"/>
      <c r="T34" s="11">
        <f t="shared" si="7"/>
        <v>0</v>
      </c>
      <c r="U34" s="11">
        <f t="shared" si="7"/>
        <v>0</v>
      </c>
      <c r="V34" s="15">
        <f t="shared" si="7"/>
        <v>0</v>
      </c>
      <c r="W34" s="8">
        <f t="shared" si="6"/>
        <v>0</v>
      </c>
    </row>
    <row r="35" spans="3:23">
      <c r="C35" s="8">
        <f t="shared" si="0"/>
        <v>0</v>
      </c>
      <c r="D35" s="8">
        <f t="shared" si="1"/>
        <v>0</v>
      </c>
      <c r="E35" s="8">
        <f t="shared" si="2"/>
        <v>0</v>
      </c>
      <c r="F35" s="8">
        <f t="shared" si="3"/>
        <v>0</v>
      </c>
      <c r="G35" s="8"/>
      <c r="H35" s="9">
        <f t="shared" si="4"/>
        <v>0</v>
      </c>
      <c r="I35" s="39"/>
      <c r="J35" s="44"/>
      <c r="K35" s="45"/>
      <c r="L35" s="45"/>
      <c r="M35" s="46"/>
      <c r="N35" s="46"/>
      <c r="O35" s="46"/>
      <c r="P35" s="36"/>
      <c r="Q35" s="45"/>
      <c r="R35" s="3"/>
      <c r="S35" s="21"/>
      <c r="T35" s="11">
        <f t="shared" si="7"/>
        <v>0</v>
      </c>
      <c r="U35" s="11">
        <f t="shared" si="7"/>
        <v>0</v>
      </c>
      <c r="V35" s="15">
        <f t="shared" si="7"/>
        <v>0</v>
      </c>
      <c r="W35" s="8">
        <f t="shared" si="6"/>
        <v>0</v>
      </c>
    </row>
    <row r="36" spans="3:23">
      <c r="C36" s="8">
        <f t="shared" si="0"/>
        <v>0</v>
      </c>
      <c r="D36" s="8">
        <f t="shared" si="1"/>
        <v>0</v>
      </c>
      <c r="E36" s="8">
        <f t="shared" si="2"/>
        <v>0</v>
      </c>
      <c r="F36" s="8">
        <f t="shared" si="3"/>
        <v>0</v>
      </c>
      <c r="G36" s="8"/>
      <c r="H36" s="9">
        <f t="shared" si="4"/>
        <v>0</v>
      </c>
      <c r="I36" s="39"/>
      <c r="J36" s="44"/>
      <c r="K36" s="45"/>
      <c r="L36" s="45"/>
      <c r="M36" s="46"/>
      <c r="N36" s="46"/>
      <c r="O36" s="46"/>
      <c r="P36" s="36"/>
      <c r="Q36" s="45"/>
      <c r="R36" s="3"/>
      <c r="S36" s="21"/>
      <c r="T36" s="11">
        <f t="shared" si="7"/>
        <v>0</v>
      </c>
      <c r="U36" s="11">
        <f t="shared" si="7"/>
        <v>0</v>
      </c>
      <c r="V36" s="15">
        <f t="shared" si="7"/>
        <v>0</v>
      </c>
      <c r="W36" s="8">
        <f t="shared" si="6"/>
        <v>0</v>
      </c>
    </row>
    <row r="37" spans="3:23">
      <c r="C37" s="8">
        <f t="shared" si="0"/>
        <v>0</v>
      </c>
      <c r="D37" s="8">
        <f t="shared" si="1"/>
        <v>0</v>
      </c>
      <c r="E37" s="8">
        <f t="shared" si="2"/>
        <v>0</v>
      </c>
      <c r="F37" s="8">
        <f t="shared" si="3"/>
        <v>0</v>
      </c>
      <c r="G37" s="8"/>
      <c r="H37" s="9">
        <f t="shared" si="4"/>
        <v>0</v>
      </c>
      <c r="I37" s="39"/>
      <c r="J37" s="44"/>
      <c r="K37" s="45"/>
      <c r="L37" s="45"/>
      <c r="M37" s="46"/>
      <c r="N37" s="46"/>
      <c r="O37" s="46"/>
      <c r="P37" s="36"/>
      <c r="Q37" s="45"/>
      <c r="R37" s="3"/>
      <c r="S37" s="22"/>
      <c r="T37" s="11">
        <f t="shared" si="7"/>
        <v>0</v>
      </c>
      <c r="U37" s="11">
        <f t="shared" si="7"/>
        <v>0</v>
      </c>
      <c r="V37" s="15">
        <f t="shared" si="7"/>
        <v>0</v>
      </c>
      <c r="W37" s="8">
        <f t="shared" si="6"/>
        <v>0</v>
      </c>
    </row>
    <row r="38" spans="3:23">
      <c r="C38" s="8">
        <f t="shared" si="0"/>
        <v>0</v>
      </c>
      <c r="D38" s="8">
        <f t="shared" si="1"/>
        <v>0</v>
      </c>
      <c r="E38" s="8">
        <f t="shared" si="2"/>
        <v>0</v>
      </c>
      <c r="F38" s="8">
        <f t="shared" si="3"/>
        <v>0</v>
      </c>
      <c r="G38" s="8"/>
      <c r="H38" s="9">
        <f t="shared" si="4"/>
        <v>0</v>
      </c>
      <c r="I38" s="39"/>
      <c r="J38" s="44"/>
      <c r="K38" s="45"/>
      <c r="L38" s="45"/>
      <c r="M38" s="46"/>
      <c r="N38" s="46"/>
      <c r="O38" s="46"/>
      <c r="P38" s="36"/>
      <c r="Q38" s="45"/>
      <c r="R38" s="3"/>
      <c r="S38" s="23" t="s">
        <v>19</v>
      </c>
      <c r="T38" s="11">
        <f t="shared" si="7"/>
        <v>0</v>
      </c>
      <c r="U38" s="11">
        <f t="shared" si="7"/>
        <v>0</v>
      </c>
      <c r="V38" s="15">
        <f t="shared" si="7"/>
        <v>0</v>
      </c>
      <c r="W38" s="8">
        <f t="shared" si="6"/>
        <v>0</v>
      </c>
    </row>
    <row r="39" spans="3:23">
      <c r="C39" s="8">
        <f t="shared" si="0"/>
        <v>0</v>
      </c>
      <c r="D39" s="8">
        <f t="shared" si="1"/>
        <v>0</v>
      </c>
      <c r="E39" s="8">
        <f t="shared" si="2"/>
        <v>0</v>
      </c>
      <c r="F39" s="8">
        <f t="shared" si="3"/>
        <v>0</v>
      </c>
      <c r="G39" s="8"/>
      <c r="H39" s="9">
        <f t="shared" si="4"/>
        <v>0</v>
      </c>
      <c r="I39" s="39"/>
      <c r="J39" s="44"/>
      <c r="K39" s="45"/>
      <c r="L39" s="45"/>
      <c r="M39" s="46"/>
      <c r="N39" s="46"/>
      <c r="O39" s="46"/>
      <c r="P39" s="36"/>
      <c r="Q39" s="45"/>
      <c r="R39" s="3"/>
    </row>
    <row r="40" spans="3:23" ht="15.75" thickBot="1">
      <c r="C40" s="8">
        <f t="shared" si="0"/>
        <v>0</v>
      </c>
      <c r="D40" s="8">
        <f t="shared" si="1"/>
        <v>0</v>
      </c>
      <c r="E40" s="8">
        <f t="shared" si="2"/>
        <v>0</v>
      </c>
      <c r="F40" s="8">
        <f t="shared" si="3"/>
        <v>0</v>
      </c>
      <c r="G40" s="8"/>
      <c r="H40" s="9">
        <f t="shared" si="4"/>
        <v>0</v>
      </c>
      <c r="I40" s="39"/>
      <c r="J40" s="44"/>
      <c r="K40" s="45"/>
      <c r="L40" s="45"/>
      <c r="M40" s="46"/>
      <c r="N40" s="46"/>
      <c r="O40" s="46"/>
      <c r="P40" s="36"/>
      <c r="Q40" s="45"/>
      <c r="R40" s="3"/>
      <c r="S40" s="32" t="s">
        <v>20</v>
      </c>
      <c r="T40" s="33"/>
      <c r="U40" s="34"/>
      <c r="V40" s="35"/>
    </row>
    <row r="41" spans="3:23">
      <c r="C41" s="8">
        <f t="shared" si="0"/>
        <v>0</v>
      </c>
      <c r="D41" s="8">
        <f t="shared" si="1"/>
        <v>0</v>
      </c>
      <c r="E41" s="8">
        <f t="shared" si="2"/>
        <v>0</v>
      </c>
      <c r="F41" s="8">
        <f t="shared" si="3"/>
        <v>0</v>
      </c>
      <c r="G41" s="8"/>
      <c r="H41" s="9">
        <f t="shared" si="4"/>
        <v>0</v>
      </c>
      <c r="I41" s="39"/>
      <c r="J41" s="44"/>
      <c r="K41" s="45"/>
      <c r="L41" s="45"/>
      <c r="M41" s="46"/>
      <c r="N41" s="46"/>
      <c r="O41" s="46"/>
      <c r="P41" s="36"/>
      <c r="Q41" s="45"/>
      <c r="R41" s="3"/>
      <c r="S41" s="12"/>
      <c r="T41" s="7" t="s">
        <v>2</v>
      </c>
      <c r="U41" s="4" t="s">
        <v>3</v>
      </c>
      <c r="V41" s="13" t="s">
        <v>4</v>
      </c>
    </row>
    <row r="42" spans="3:23">
      <c r="C42" s="8">
        <f t="shared" si="0"/>
        <v>0</v>
      </c>
      <c r="D42" s="8">
        <f t="shared" si="1"/>
        <v>0</v>
      </c>
      <c r="E42" s="8">
        <f t="shared" si="2"/>
        <v>0</v>
      </c>
      <c r="F42" s="8">
        <f t="shared" si="3"/>
        <v>0</v>
      </c>
      <c r="G42" s="8"/>
      <c r="H42" s="9">
        <f t="shared" si="4"/>
        <v>0</v>
      </c>
      <c r="I42" s="39"/>
      <c r="J42" s="44"/>
      <c r="K42" s="45"/>
      <c r="L42" s="45"/>
      <c r="M42" s="46"/>
      <c r="N42" s="46"/>
      <c r="O42" s="46"/>
      <c r="P42" s="36"/>
      <c r="Q42" s="45"/>
      <c r="R42" s="3"/>
      <c r="S42" s="24" cm="1">
        <f t="array" ref="S42">_xlfn.UNIQUE(_xlfn._xlws.FILTER(J6:J206,J6:J206&lt;&gt;""))</f>
        <v>123456789</v>
      </c>
      <c r="T42" s="11">
        <f t="shared" ref="T42:V46" si="8">SUMIFS($P$6:$P$206,$L$6:$L$206,"="&amp;T$41,$J$6:$J$206,"="&amp;$S42)</f>
        <v>1000</v>
      </c>
      <c r="U42" s="11">
        <f t="shared" si="8"/>
        <v>600</v>
      </c>
      <c r="V42" s="15">
        <f t="shared" si="8"/>
        <v>0</v>
      </c>
    </row>
    <row r="43" spans="3:23">
      <c r="C43" s="8">
        <f t="shared" si="0"/>
        <v>0</v>
      </c>
      <c r="D43" s="8">
        <f t="shared" si="1"/>
        <v>0</v>
      </c>
      <c r="E43" s="8">
        <f t="shared" si="2"/>
        <v>0</v>
      </c>
      <c r="F43" s="8">
        <f t="shared" si="3"/>
        <v>0</v>
      </c>
      <c r="G43" s="8"/>
      <c r="H43" s="9">
        <f t="shared" si="4"/>
        <v>0</v>
      </c>
      <c r="I43" s="39"/>
      <c r="J43" s="44"/>
      <c r="K43" s="45"/>
      <c r="L43" s="45"/>
      <c r="M43" s="46"/>
      <c r="N43" s="46"/>
      <c r="O43" s="46"/>
      <c r="P43" s="36"/>
      <c r="Q43" s="45"/>
      <c r="R43" s="3"/>
      <c r="S43" s="24"/>
      <c r="T43" s="11">
        <f t="shared" si="8"/>
        <v>0</v>
      </c>
      <c r="U43" s="11">
        <f t="shared" si="8"/>
        <v>0</v>
      </c>
      <c r="V43" s="15">
        <f t="shared" si="8"/>
        <v>0</v>
      </c>
    </row>
    <row r="44" spans="3:23">
      <c r="C44" s="8">
        <f t="shared" si="0"/>
        <v>0</v>
      </c>
      <c r="D44" s="8">
        <f t="shared" si="1"/>
        <v>0</v>
      </c>
      <c r="E44" s="8">
        <f t="shared" si="2"/>
        <v>0</v>
      </c>
      <c r="F44" s="8">
        <f t="shared" si="3"/>
        <v>0</v>
      </c>
      <c r="G44" s="8"/>
      <c r="H44" s="9">
        <f t="shared" si="4"/>
        <v>0</v>
      </c>
      <c r="I44" s="39"/>
      <c r="J44" s="44"/>
      <c r="K44" s="45"/>
      <c r="L44" s="45"/>
      <c r="M44" s="46"/>
      <c r="N44" s="46"/>
      <c r="O44" s="46"/>
      <c r="P44" s="36"/>
      <c r="Q44" s="45"/>
      <c r="R44" s="3"/>
      <c r="S44" s="24"/>
      <c r="T44" s="11">
        <f t="shared" si="8"/>
        <v>0</v>
      </c>
      <c r="U44" s="11">
        <f t="shared" si="8"/>
        <v>0</v>
      </c>
      <c r="V44" s="15">
        <f t="shared" si="8"/>
        <v>0</v>
      </c>
    </row>
    <row r="45" spans="3:23">
      <c r="C45" s="8">
        <f t="shared" si="0"/>
        <v>0</v>
      </c>
      <c r="D45" s="8">
        <f t="shared" si="1"/>
        <v>0</v>
      </c>
      <c r="E45" s="8">
        <f t="shared" si="2"/>
        <v>0</v>
      </c>
      <c r="F45" s="8">
        <f t="shared" si="3"/>
        <v>0</v>
      </c>
      <c r="G45" s="8"/>
      <c r="H45" s="9">
        <f t="shared" si="4"/>
        <v>0</v>
      </c>
      <c r="I45" s="39"/>
      <c r="J45" s="44"/>
      <c r="K45" s="45"/>
      <c r="L45" s="45"/>
      <c r="M45" s="46"/>
      <c r="N45" s="46"/>
      <c r="O45" s="46"/>
      <c r="P45" s="36"/>
      <c r="Q45" s="45"/>
      <c r="R45" s="3"/>
      <c r="S45" s="24"/>
      <c r="T45" s="11">
        <f t="shared" si="8"/>
        <v>0</v>
      </c>
      <c r="U45" s="11">
        <f t="shared" si="8"/>
        <v>0</v>
      </c>
      <c r="V45" s="15">
        <f t="shared" si="8"/>
        <v>0</v>
      </c>
    </row>
    <row r="46" spans="3:23">
      <c r="C46" s="8">
        <f t="shared" si="0"/>
        <v>0</v>
      </c>
      <c r="D46" s="8">
        <f t="shared" si="1"/>
        <v>0</v>
      </c>
      <c r="E46" s="8">
        <f t="shared" si="2"/>
        <v>0</v>
      </c>
      <c r="F46" s="8">
        <f t="shared" si="3"/>
        <v>0</v>
      </c>
      <c r="G46" s="8"/>
      <c r="H46" s="9">
        <f t="shared" si="4"/>
        <v>0</v>
      </c>
      <c r="I46" s="39"/>
      <c r="J46" s="44"/>
      <c r="K46" s="45"/>
      <c r="L46" s="45"/>
      <c r="M46" s="46"/>
      <c r="N46" s="46"/>
      <c r="O46" s="46"/>
      <c r="P46" s="36"/>
      <c r="Q46" s="45"/>
      <c r="R46" s="3"/>
      <c r="S46" s="24"/>
      <c r="T46" s="11">
        <f t="shared" si="8"/>
        <v>0</v>
      </c>
      <c r="U46" s="11">
        <f t="shared" si="8"/>
        <v>0</v>
      </c>
      <c r="V46" s="15">
        <f t="shared" si="8"/>
        <v>0</v>
      </c>
    </row>
    <row r="47" spans="3:23">
      <c r="C47" s="8">
        <f t="shared" si="0"/>
        <v>0</v>
      </c>
      <c r="D47" s="8">
        <f t="shared" si="1"/>
        <v>0</v>
      </c>
      <c r="E47" s="8">
        <f t="shared" si="2"/>
        <v>0</v>
      </c>
      <c r="F47" s="8">
        <f t="shared" si="3"/>
        <v>0</v>
      </c>
      <c r="G47" s="8"/>
      <c r="H47" s="9">
        <f t="shared" si="4"/>
        <v>0</v>
      </c>
      <c r="I47" s="39"/>
      <c r="J47" s="44"/>
      <c r="K47" s="45"/>
      <c r="L47" s="45"/>
      <c r="M47" s="46"/>
      <c r="N47" s="46"/>
      <c r="O47" s="46"/>
      <c r="P47" s="36"/>
      <c r="Q47" s="45"/>
      <c r="R47" s="3"/>
      <c r="S47" s="24"/>
      <c r="T47" s="11"/>
      <c r="U47" s="11"/>
      <c r="V47" s="15"/>
    </row>
    <row r="48" spans="3:23">
      <c r="C48" s="8">
        <f t="shared" si="0"/>
        <v>0</v>
      </c>
      <c r="D48" s="8">
        <f t="shared" si="1"/>
        <v>0</v>
      </c>
      <c r="E48" s="8">
        <f t="shared" si="2"/>
        <v>0</v>
      </c>
      <c r="F48" s="8">
        <f t="shared" si="3"/>
        <v>0</v>
      </c>
      <c r="G48" s="8"/>
      <c r="H48" s="9">
        <f t="shared" si="4"/>
        <v>0</v>
      </c>
      <c r="I48" s="39"/>
      <c r="J48" s="44"/>
      <c r="K48" s="45"/>
      <c r="L48" s="45"/>
      <c r="M48" s="46"/>
      <c r="N48" s="46"/>
      <c r="O48" s="46"/>
      <c r="P48" s="36"/>
      <c r="Q48" s="45"/>
      <c r="R48" s="3"/>
      <c r="S48" s="24"/>
      <c r="T48" s="11"/>
      <c r="U48" s="11"/>
      <c r="V48" s="15"/>
    </row>
    <row r="49" spans="3:22">
      <c r="C49" s="8">
        <f t="shared" si="0"/>
        <v>0</v>
      </c>
      <c r="D49" s="8">
        <f t="shared" si="1"/>
        <v>0</v>
      </c>
      <c r="E49" s="8">
        <f t="shared" si="2"/>
        <v>0</v>
      </c>
      <c r="F49" s="8">
        <f t="shared" si="3"/>
        <v>0</v>
      </c>
      <c r="G49" s="8"/>
      <c r="H49" s="9">
        <f t="shared" si="4"/>
        <v>0</v>
      </c>
      <c r="I49" s="39"/>
      <c r="J49" s="44"/>
      <c r="K49" s="45"/>
      <c r="L49" s="45"/>
      <c r="M49" s="46"/>
      <c r="N49" s="46"/>
      <c r="O49" s="46"/>
      <c r="P49" s="36"/>
      <c r="Q49" s="45"/>
      <c r="R49" s="3"/>
      <c r="S49" s="24"/>
      <c r="T49" s="11"/>
      <c r="U49" s="11"/>
      <c r="V49" s="15"/>
    </row>
    <row r="50" spans="3:22">
      <c r="C50" s="8">
        <f t="shared" si="0"/>
        <v>0</v>
      </c>
      <c r="D50" s="8">
        <f t="shared" si="1"/>
        <v>0</v>
      </c>
      <c r="E50" s="8">
        <f t="shared" si="2"/>
        <v>0</v>
      </c>
      <c r="F50" s="8">
        <f t="shared" si="3"/>
        <v>0</v>
      </c>
      <c r="G50" s="8"/>
      <c r="H50" s="9">
        <f t="shared" si="4"/>
        <v>0</v>
      </c>
      <c r="I50" s="39"/>
      <c r="J50" s="44"/>
      <c r="K50" s="45"/>
      <c r="L50" s="45"/>
      <c r="M50" s="46"/>
      <c r="N50" s="46"/>
      <c r="O50" s="46"/>
      <c r="P50" s="36"/>
      <c r="Q50" s="45"/>
      <c r="R50" s="3"/>
      <c r="S50" s="24"/>
      <c r="T50" s="11"/>
      <c r="U50" s="11"/>
      <c r="V50" s="15"/>
    </row>
    <row r="51" spans="3:22">
      <c r="C51" s="8">
        <f t="shared" si="0"/>
        <v>0</v>
      </c>
      <c r="D51" s="8">
        <f t="shared" si="1"/>
        <v>0</v>
      </c>
      <c r="E51" s="8">
        <f t="shared" si="2"/>
        <v>0</v>
      </c>
      <c r="F51" s="8">
        <f t="shared" si="3"/>
        <v>0</v>
      </c>
      <c r="G51" s="8"/>
      <c r="H51" s="9">
        <f t="shared" si="4"/>
        <v>0</v>
      </c>
      <c r="I51" s="39"/>
      <c r="J51" s="44"/>
      <c r="K51" s="45"/>
      <c r="L51" s="45"/>
      <c r="M51" s="46"/>
      <c r="N51" s="46"/>
      <c r="O51" s="46"/>
      <c r="P51" s="36"/>
      <c r="Q51" s="45"/>
      <c r="R51" s="3"/>
      <c r="S51" s="24"/>
      <c r="T51" s="11"/>
      <c r="U51" s="11"/>
      <c r="V51" s="15"/>
    </row>
    <row r="52" spans="3:22">
      <c r="C52" s="8">
        <f t="shared" si="0"/>
        <v>0</v>
      </c>
      <c r="D52" s="8">
        <f t="shared" si="1"/>
        <v>0</v>
      </c>
      <c r="E52" s="8">
        <f t="shared" si="2"/>
        <v>0</v>
      </c>
      <c r="F52" s="8">
        <f t="shared" si="3"/>
        <v>0</v>
      </c>
      <c r="G52" s="8"/>
      <c r="H52" s="9">
        <f t="shared" si="4"/>
        <v>0</v>
      </c>
      <c r="I52" s="39"/>
      <c r="J52" s="44"/>
      <c r="K52" s="45"/>
      <c r="L52" s="45"/>
      <c r="M52" s="46"/>
      <c r="N52" s="46"/>
      <c r="O52" s="46"/>
      <c r="P52" s="36"/>
      <c r="Q52" s="45"/>
      <c r="R52" s="3"/>
      <c r="S52" s="24"/>
      <c r="T52" s="11"/>
      <c r="U52" s="11"/>
      <c r="V52" s="15"/>
    </row>
    <row r="53" spans="3:22">
      <c r="C53" s="8">
        <f t="shared" si="0"/>
        <v>0</v>
      </c>
      <c r="D53" s="8">
        <f t="shared" si="1"/>
        <v>0</v>
      </c>
      <c r="E53" s="8">
        <f t="shared" si="2"/>
        <v>0</v>
      </c>
      <c r="F53" s="8">
        <f t="shared" si="3"/>
        <v>0</v>
      </c>
      <c r="G53" s="8"/>
      <c r="H53" s="9">
        <f t="shared" si="4"/>
        <v>0</v>
      </c>
      <c r="I53" s="39"/>
      <c r="J53" s="44"/>
      <c r="K53" s="45"/>
      <c r="L53" s="45"/>
      <c r="M53" s="46"/>
      <c r="N53" s="46"/>
      <c r="O53" s="46"/>
      <c r="P53" s="36"/>
      <c r="Q53" s="45"/>
      <c r="R53" s="3"/>
      <c r="S53" s="24"/>
      <c r="T53" s="11"/>
      <c r="U53" s="11"/>
      <c r="V53" s="15"/>
    </row>
    <row r="54" spans="3:22">
      <c r="C54" s="8">
        <f t="shared" si="0"/>
        <v>0</v>
      </c>
      <c r="D54" s="8">
        <f t="shared" si="1"/>
        <v>0</v>
      </c>
      <c r="E54" s="8">
        <f t="shared" si="2"/>
        <v>0</v>
      </c>
      <c r="F54" s="8">
        <f t="shared" si="3"/>
        <v>0</v>
      </c>
      <c r="G54" s="8"/>
      <c r="H54" s="9">
        <f t="shared" si="4"/>
        <v>0</v>
      </c>
      <c r="I54" s="39"/>
      <c r="J54" s="44"/>
      <c r="K54" s="45"/>
      <c r="L54" s="45"/>
      <c r="M54" s="46"/>
      <c r="N54" s="46"/>
      <c r="O54" s="46"/>
      <c r="P54" s="36"/>
      <c r="Q54" s="45"/>
      <c r="R54" s="3"/>
      <c r="S54" s="24"/>
      <c r="T54" s="11"/>
      <c r="U54" s="11"/>
      <c r="V54" s="15"/>
    </row>
    <row r="55" spans="3:22">
      <c r="C55" s="8">
        <f t="shared" si="0"/>
        <v>0</v>
      </c>
      <c r="D55" s="8">
        <f t="shared" si="1"/>
        <v>0</v>
      </c>
      <c r="E55" s="8">
        <f t="shared" si="2"/>
        <v>0</v>
      </c>
      <c r="F55" s="8">
        <f t="shared" si="3"/>
        <v>0</v>
      </c>
      <c r="G55" s="8"/>
      <c r="H55" s="9">
        <f t="shared" si="4"/>
        <v>0</v>
      </c>
      <c r="I55" s="39"/>
      <c r="J55" s="44"/>
      <c r="K55" s="45"/>
      <c r="L55" s="45"/>
      <c r="M55" s="46"/>
      <c r="N55" s="46"/>
      <c r="O55" s="46"/>
      <c r="P55" s="36"/>
      <c r="Q55" s="45"/>
      <c r="R55" s="3"/>
      <c r="S55" s="24"/>
      <c r="T55" s="11"/>
      <c r="U55" s="11"/>
      <c r="V55" s="15"/>
    </row>
    <row r="56" spans="3:22">
      <c r="C56" s="8">
        <f t="shared" si="0"/>
        <v>0</v>
      </c>
      <c r="D56" s="8">
        <f t="shared" si="1"/>
        <v>0</v>
      </c>
      <c r="E56" s="8">
        <f t="shared" si="2"/>
        <v>0</v>
      </c>
      <c r="F56" s="8">
        <f t="shared" si="3"/>
        <v>0</v>
      </c>
      <c r="G56" s="8"/>
      <c r="H56" s="9">
        <f t="shared" si="4"/>
        <v>0</v>
      </c>
      <c r="I56" s="39"/>
      <c r="J56" s="44"/>
      <c r="K56" s="45"/>
      <c r="L56" s="45"/>
      <c r="M56" s="46"/>
      <c r="N56" s="46"/>
      <c r="O56" s="46"/>
      <c r="P56" s="36"/>
      <c r="Q56" s="45"/>
      <c r="R56" s="3"/>
      <c r="S56" s="24"/>
      <c r="T56" s="11"/>
      <c r="U56" s="11"/>
      <c r="V56" s="15"/>
    </row>
    <row r="57" spans="3:22">
      <c r="C57" s="8">
        <f t="shared" si="0"/>
        <v>0</v>
      </c>
      <c r="D57" s="8">
        <f t="shared" si="1"/>
        <v>0</v>
      </c>
      <c r="E57" s="8">
        <f t="shared" si="2"/>
        <v>0</v>
      </c>
      <c r="F57" s="8">
        <f t="shared" si="3"/>
        <v>0</v>
      </c>
      <c r="G57" s="8"/>
      <c r="H57" s="9">
        <f t="shared" si="4"/>
        <v>0</v>
      </c>
      <c r="I57" s="39"/>
      <c r="J57" s="44"/>
      <c r="K57" s="45"/>
      <c r="L57" s="45"/>
      <c r="M57" s="46"/>
      <c r="N57" s="46"/>
      <c r="O57" s="46"/>
      <c r="P57" s="36"/>
      <c r="Q57" s="45"/>
      <c r="R57" s="3"/>
      <c r="S57" s="24"/>
      <c r="T57" s="11"/>
      <c r="U57" s="11"/>
      <c r="V57" s="15"/>
    </row>
    <row r="58" spans="3:22">
      <c r="C58" s="8">
        <f t="shared" si="0"/>
        <v>0</v>
      </c>
      <c r="D58" s="8">
        <f t="shared" si="1"/>
        <v>0</v>
      </c>
      <c r="E58" s="8">
        <f t="shared" si="2"/>
        <v>0</v>
      </c>
      <c r="F58" s="8">
        <f t="shared" si="3"/>
        <v>0</v>
      </c>
      <c r="G58" s="8"/>
      <c r="H58" s="9">
        <f t="shared" si="4"/>
        <v>0</v>
      </c>
      <c r="I58" s="39"/>
      <c r="J58" s="44"/>
      <c r="K58" s="45"/>
      <c r="L58" s="45"/>
      <c r="M58" s="46"/>
      <c r="N58" s="46"/>
      <c r="O58" s="46"/>
      <c r="P58" s="36"/>
      <c r="Q58" s="45"/>
      <c r="R58" s="3"/>
      <c r="S58" s="24"/>
      <c r="T58" s="11"/>
      <c r="U58" s="11"/>
      <c r="V58" s="15"/>
    </row>
    <row r="59" spans="3:22">
      <c r="C59" s="8">
        <f t="shared" si="0"/>
        <v>0</v>
      </c>
      <c r="D59" s="8">
        <f t="shared" si="1"/>
        <v>0</v>
      </c>
      <c r="E59" s="8">
        <f t="shared" si="2"/>
        <v>0</v>
      </c>
      <c r="F59" s="8">
        <f t="shared" si="3"/>
        <v>0</v>
      </c>
      <c r="G59" s="8"/>
      <c r="H59" s="9">
        <f t="shared" si="4"/>
        <v>0</v>
      </c>
      <c r="I59" s="39"/>
      <c r="J59" s="44"/>
      <c r="K59" s="45"/>
      <c r="L59" s="45"/>
      <c r="M59" s="46"/>
      <c r="N59" s="46"/>
      <c r="O59" s="46"/>
      <c r="P59" s="36"/>
      <c r="Q59" s="45"/>
      <c r="R59" s="3"/>
      <c r="S59" s="24"/>
      <c r="T59" s="11"/>
      <c r="U59" s="11"/>
      <c r="V59" s="15"/>
    </row>
    <row r="60" spans="3:22">
      <c r="C60" s="8">
        <f t="shared" si="0"/>
        <v>0</v>
      </c>
      <c r="D60" s="8">
        <f t="shared" si="1"/>
        <v>0</v>
      </c>
      <c r="E60" s="8">
        <f t="shared" si="2"/>
        <v>0</v>
      </c>
      <c r="F60" s="8">
        <f t="shared" si="3"/>
        <v>0</v>
      </c>
      <c r="G60" s="8"/>
      <c r="H60" s="9">
        <f t="shared" si="4"/>
        <v>0</v>
      </c>
      <c r="I60" s="39"/>
      <c r="J60" s="44"/>
      <c r="K60" s="45"/>
      <c r="L60" s="45"/>
      <c r="M60" s="46"/>
      <c r="N60" s="46"/>
      <c r="O60" s="46"/>
      <c r="P60" s="36"/>
      <c r="Q60" s="45"/>
      <c r="R60" s="3"/>
      <c r="S60" s="24"/>
      <c r="T60" s="11"/>
      <c r="U60" s="11"/>
      <c r="V60" s="15"/>
    </row>
    <row r="61" spans="3:22">
      <c r="C61" s="8">
        <f t="shared" si="0"/>
        <v>0</v>
      </c>
      <c r="D61" s="8">
        <f t="shared" si="1"/>
        <v>0</v>
      </c>
      <c r="E61" s="8">
        <f t="shared" si="2"/>
        <v>0</v>
      </c>
      <c r="F61" s="8">
        <f t="shared" si="3"/>
        <v>0</v>
      </c>
      <c r="G61" s="8"/>
      <c r="H61" s="9">
        <f t="shared" si="4"/>
        <v>0</v>
      </c>
      <c r="I61" s="39"/>
      <c r="J61" s="44"/>
      <c r="K61" s="45"/>
      <c r="L61" s="45"/>
      <c r="M61" s="46"/>
      <c r="N61" s="46"/>
      <c r="O61" s="46"/>
      <c r="P61" s="36"/>
      <c r="Q61" s="45"/>
      <c r="R61" s="3"/>
      <c r="S61" s="24"/>
      <c r="T61" s="11"/>
      <c r="U61" s="11"/>
      <c r="V61" s="15"/>
    </row>
    <row r="62" spans="3:22">
      <c r="C62" s="8">
        <f t="shared" si="0"/>
        <v>0</v>
      </c>
      <c r="D62" s="8">
        <f t="shared" si="1"/>
        <v>0</v>
      </c>
      <c r="E62" s="8">
        <f t="shared" si="2"/>
        <v>0</v>
      </c>
      <c r="F62" s="8">
        <f t="shared" si="3"/>
        <v>0</v>
      </c>
      <c r="G62" s="8"/>
      <c r="H62" s="9">
        <f t="shared" si="4"/>
        <v>0</v>
      </c>
      <c r="I62" s="39"/>
      <c r="J62" s="44"/>
      <c r="K62" s="45"/>
      <c r="L62" s="45"/>
      <c r="M62" s="46"/>
      <c r="N62" s="46"/>
      <c r="O62" s="46"/>
      <c r="P62" s="36"/>
      <c r="Q62" s="45"/>
      <c r="R62" s="3"/>
      <c r="S62" s="24"/>
      <c r="T62" s="11"/>
      <c r="U62" s="11"/>
      <c r="V62" s="15"/>
    </row>
    <row r="63" spans="3:22">
      <c r="C63" s="8">
        <f t="shared" si="0"/>
        <v>0</v>
      </c>
      <c r="D63" s="8">
        <f t="shared" si="1"/>
        <v>0</v>
      </c>
      <c r="E63" s="8">
        <f t="shared" si="2"/>
        <v>0</v>
      </c>
      <c r="F63" s="8">
        <f t="shared" si="3"/>
        <v>0</v>
      </c>
      <c r="G63" s="8"/>
      <c r="H63" s="9">
        <f t="shared" si="4"/>
        <v>0</v>
      </c>
      <c r="I63" s="39"/>
      <c r="J63" s="44"/>
      <c r="K63" s="45"/>
      <c r="L63" s="45"/>
      <c r="M63" s="46"/>
      <c r="N63" s="46"/>
      <c r="O63" s="46"/>
      <c r="P63" s="36"/>
      <c r="Q63" s="45"/>
      <c r="R63" s="3"/>
      <c r="S63" s="24"/>
      <c r="T63" s="11"/>
      <c r="U63" s="11"/>
      <c r="V63" s="15"/>
    </row>
    <row r="64" spans="3:22">
      <c r="C64" s="8">
        <f t="shared" si="0"/>
        <v>0</v>
      </c>
      <c r="D64" s="8">
        <f t="shared" si="1"/>
        <v>0</v>
      </c>
      <c r="E64" s="8">
        <f t="shared" si="2"/>
        <v>0</v>
      </c>
      <c r="F64" s="8">
        <f t="shared" si="3"/>
        <v>0</v>
      </c>
      <c r="G64" s="8"/>
      <c r="H64" s="9">
        <f t="shared" si="4"/>
        <v>0</v>
      </c>
      <c r="I64" s="39"/>
      <c r="J64" s="44"/>
      <c r="K64" s="45"/>
      <c r="L64" s="45"/>
      <c r="M64" s="46"/>
      <c r="N64" s="46"/>
      <c r="O64" s="46"/>
      <c r="P64" s="36"/>
      <c r="Q64" s="45"/>
      <c r="R64" s="3"/>
      <c r="S64" s="24"/>
      <c r="T64" s="11"/>
      <c r="U64" s="11"/>
      <c r="V64" s="15"/>
    </row>
    <row r="65" spans="3:22">
      <c r="C65" s="8">
        <f t="shared" si="0"/>
        <v>0</v>
      </c>
      <c r="D65" s="8">
        <f t="shared" si="1"/>
        <v>0</v>
      </c>
      <c r="E65" s="8">
        <f t="shared" si="2"/>
        <v>0</v>
      </c>
      <c r="F65" s="8">
        <f t="shared" si="3"/>
        <v>0</v>
      </c>
      <c r="G65" s="8"/>
      <c r="H65" s="9">
        <f t="shared" si="4"/>
        <v>0</v>
      </c>
      <c r="I65" s="39"/>
      <c r="J65" s="44"/>
      <c r="K65" s="45"/>
      <c r="L65" s="45"/>
      <c r="M65" s="46"/>
      <c r="N65" s="46"/>
      <c r="O65" s="46"/>
      <c r="P65" s="36"/>
      <c r="Q65" s="45"/>
      <c r="R65" s="3"/>
      <c r="S65" s="24"/>
      <c r="T65" s="11"/>
      <c r="U65" s="11"/>
      <c r="V65" s="15"/>
    </row>
    <row r="66" spans="3:22">
      <c r="C66" s="8">
        <f t="shared" si="0"/>
        <v>0</v>
      </c>
      <c r="D66" s="8">
        <f t="shared" si="1"/>
        <v>0</v>
      </c>
      <c r="E66" s="8">
        <f t="shared" si="2"/>
        <v>0</v>
      </c>
      <c r="F66" s="8">
        <f t="shared" si="3"/>
        <v>0</v>
      </c>
      <c r="G66" s="8"/>
      <c r="H66" s="9">
        <f t="shared" si="4"/>
        <v>0</v>
      </c>
      <c r="I66" s="39"/>
      <c r="J66" s="44"/>
      <c r="K66" s="45"/>
      <c r="L66" s="45"/>
      <c r="M66" s="46"/>
      <c r="N66" s="46"/>
      <c r="O66" s="46"/>
      <c r="P66" s="36"/>
      <c r="Q66" s="45"/>
      <c r="R66" s="3"/>
      <c r="S66" s="24"/>
      <c r="T66" s="11"/>
      <c r="U66" s="11"/>
      <c r="V66" s="15"/>
    </row>
    <row r="67" spans="3:22">
      <c r="C67" s="8">
        <f t="shared" si="0"/>
        <v>0</v>
      </c>
      <c r="D67" s="8">
        <f t="shared" si="1"/>
        <v>0</v>
      </c>
      <c r="E67" s="8">
        <f t="shared" si="2"/>
        <v>0</v>
      </c>
      <c r="F67" s="8">
        <f t="shared" si="3"/>
        <v>0</v>
      </c>
      <c r="G67" s="8"/>
      <c r="H67" s="9">
        <f t="shared" si="4"/>
        <v>0</v>
      </c>
      <c r="I67" s="39"/>
      <c r="J67" s="44"/>
      <c r="K67" s="45"/>
      <c r="L67" s="45"/>
      <c r="M67" s="46"/>
      <c r="N67" s="46"/>
      <c r="O67" s="46"/>
      <c r="P67" s="36"/>
      <c r="Q67" s="45"/>
      <c r="R67" s="3"/>
      <c r="S67" s="24"/>
      <c r="T67" s="11"/>
      <c r="U67" s="11"/>
      <c r="V67" s="15"/>
    </row>
    <row r="68" spans="3:22">
      <c r="C68" s="8">
        <f t="shared" si="0"/>
        <v>0</v>
      </c>
      <c r="D68" s="8">
        <f t="shared" si="1"/>
        <v>0</v>
      </c>
      <c r="E68" s="8">
        <f t="shared" si="2"/>
        <v>0</v>
      </c>
      <c r="F68" s="8">
        <f t="shared" si="3"/>
        <v>0</v>
      </c>
      <c r="G68" s="8"/>
      <c r="H68" s="9">
        <f t="shared" si="4"/>
        <v>0</v>
      </c>
      <c r="I68" s="39"/>
      <c r="J68" s="44"/>
      <c r="K68" s="45"/>
      <c r="L68" s="45"/>
      <c r="M68" s="46"/>
      <c r="N68" s="46"/>
      <c r="O68" s="46"/>
      <c r="P68" s="36"/>
      <c r="Q68" s="45"/>
      <c r="R68" s="3"/>
      <c r="S68" s="24"/>
      <c r="T68" s="11"/>
      <c r="U68" s="11"/>
      <c r="V68" s="15"/>
    </row>
    <row r="69" spans="3:22">
      <c r="C69" s="8">
        <f t="shared" si="0"/>
        <v>0</v>
      </c>
      <c r="D69" s="8">
        <f t="shared" si="1"/>
        <v>0</v>
      </c>
      <c r="E69" s="8">
        <f t="shared" si="2"/>
        <v>0</v>
      </c>
      <c r="F69" s="8">
        <f t="shared" si="3"/>
        <v>0</v>
      </c>
      <c r="G69" s="8"/>
      <c r="H69" s="9">
        <f t="shared" si="4"/>
        <v>0</v>
      </c>
      <c r="I69" s="39"/>
      <c r="J69" s="44"/>
      <c r="K69" s="45"/>
      <c r="L69" s="45"/>
      <c r="M69" s="46"/>
      <c r="N69" s="46"/>
      <c r="O69" s="46"/>
      <c r="P69" s="36"/>
      <c r="Q69" s="45"/>
      <c r="R69" s="3"/>
      <c r="S69" s="24"/>
      <c r="T69" s="11"/>
      <c r="U69" s="11"/>
      <c r="V69" s="15"/>
    </row>
    <row r="70" spans="3:22">
      <c r="C70" s="8">
        <f t="shared" si="0"/>
        <v>0</v>
      </c>
      <c r="D70" s="8">
        <f t="shared" si="1"/>
        <v>0</v>
      </c>
      <c r="E70" s="8">
        <f t="shared" si="2"/>
        <v>0</v>
      </c>
      <c r="F70" s="8">
        <f t="shared" si="3"/>
        <v>0</v>
      </c>
      <c r="G70" s="8"/>
      <c r="H70" s="9">
        <f t="shared" si="4"/>
        <v>0</v>
      </c>
      <c r="I70" s="39"/>
      <c r="J70" s="44"/>
      <c r="K70" s="45"/>
      <c r="L70" s="45"/>
      <c r="M70" s="46"/>
      <c r="N70" s="46"/>
      <c r="O70" s="46"/>
      <c r="P70" s="36"/>
      <c r="Q70" s="45"/>
      <c r="R70" s="3"/>
      <c r="S70" s="24"/>
      <c r="T70" s="11"/>
      <c r="U70" s="11"/>
      <c r="V70" s="15"/>
    </row>
    <row r="71" spans="3:22">
      <c r="C71" s="8">
        <f t="shared" ref="C71:C134" si="9">IF(AND(I71&lt;&gt;"",ISBLANK(J71)),1,0)</f>
        <v>0</v>
      </c>
      <c r="D71" s="8">
        <f t="shared" ref="D71:D134" si="10">IF(AND(I71&lt;&gt;"",ISBLANK(K71)),1,0)</f>
        <v>0</v>
      </c>
      <c r="E71" s="8">
        <f t="shared" ref="E71:E134" si="11">IF(AND(I71&lt;&gt;"",ISBLANK(L71)),1,0)</f>
        <v>0</v>
      </c>
      <c r="F71" s="8">
        <f t="shared" ref="F71:F134" si="12">IF(AND(I71&lt;&gt;"",P71&lt;=0),1,0)</f>
        <v>0</v>
      </c>
      <c r="G71" s="8"/>
      <c r="H71" s="9">
        <f t="shared" ref="H71:H134" si="13">SUM(C71:G71)</f>
        <v>0</v>
      </c>
      <c r="I71" s="39"/>
      <c r="J71" s="44"/>
      <c r="K71" s="45"/>
      <c r="L71" s="45"/>
      <c r="M71" s="46"/>
      <c r="N71" s="46"/>
      <c r="O71" s="46"/>
      <c r="P71" s="36"/>
      <c r="Q71" s="45"/>
      <c r="R71" s="3"/>
      <c r="S71" s="24"/>
      <c r="T71" s="11"/>
      <c r="U71" s="11"/>
      <c r="V71" s="15"/>
    </row>
    <row r="72" spans="3:22">
      <c r="C72" s="8">
        <f t="shared" si="9"/>
        <v>0</v>
      </c>
      <c r="D72" s="8">
        <f t="shared" si="10"/>
        <v>0</v>
      </c>
      <c r="E72" s="8">
        <f t="shared" si="11"/>
        <v>0</v>
      </c>
      <c r="F72" s="8">
        <f t="shared" si="12"/>
        <v>0</v>
      </c>
      <c r="G72" s="8"/>
      <c r="H72" s="9">
        <f t="shared" si="13"/>
        <v>0</v>
      </c>
      <c r="I72" s="39"/>
      <c r="J72" s="44"/>
      <c r="K72" s="45"/>
      <c r="L72" s="45"/>
      <c r="M72" s="46"/>
      <c r="N72" s="46"/>
      <c r="O72" s="46"/>
      <c r="P72" s="36"/>
      <c r="Q72" s="45"/>
      <c r="R72" s="3"/>
      <c r="S72" s="24"/>
      <c r="T72" s="11"/>
      <c r="U72" s="11"/>
      <c r="V72" s="15"/>
    </row>
    <row r="73" spans="3:22">
      <c r="C73" s="8">
        <f t="shared" si="9"/>
        <v>0</v>
      </c>
      <c r="D73" s="8">
        <f t="shared" si="10"/>
        <v>0</v>
      </c>
      <c r="E73" s="8">
        <f t="shared" si="11"/>
        <v>0</v>
      </c>
      <c r="F73" s="8">
        <f t="shared" si="12"/>
        <v>0</v>
      </c>
      <c r="G73" s="8"/>
      <c r="H73" s="9">
        <f t="shared" si="13"/>
        <v>0</v>
      </c>
      <c r="I73" s="39"/>
      <c r="J73" s="44"/>
      <c r="K73" s="45"/>
      <c r="L73" s="45"/>
      <c r="M73" s="46"/>
      <c r="N73" s="46"/>
      <c r="O73" s="46"/>
      <c r="P73" s="36"/>
      <c r="Q73" s="45"/>
      <c r="R73" s="3"/>
      <c r="S73" s="24"/>
      <c r="T73" s="11"/>
      <c r="U73" s="11"/>
      <c r="V73" s="15"/>
    </row>
    <row r="74" spans="3:22">
      <c r="C74" s="8">
        <f t="shared" si="9"/>
        <v>0</v>
      </c>
      <c r="D74" s="8">
        <f t="shared" si="10"/>
        <v>0</v>
      </c>
      <c r="E74" s="8">
        <f t="shared" si="11"/>
        <v>0</v>
      </c>
      <c r="F74" s="8">
        <f t="shared" si="12"/>
        <v>0</v>
      </c>
      <c r="G74" s="8"/>
      <c r="H74" s="9">
        <f t="shared" si="13"/>
        <v>0</v>
      </c>
      <c r="I74" s="39"/>
      <c r="J74" s="44"/>
      <c r="K74" s="45"/>
      <c r="L74" s="45"/>
      <c r="M74" s="46"/>
      <c r="N74" s="46"/>
      <c r="O74" s="46"/>
      <c r="P74" s="36"/>
      <c r="Q74" s="45"/>
      <c r="R74" s="3"/>
      <c r="S74" s="24"/>
      <c r="T74" s="11"/>
      <c r="U74" s="11"/>
      <c r="V74" s="15"/>
    </row>
    <row r="75" spans="3:22">
      <c r="C75" s="8">
        <f t="shared" si="9"/>
        <v>0</v>
      </c>
      <c r="D75" s="8">
        <f t="shared" si="10"/>
        <v>0</v>
      </c>
      <c r="E75" s="8">
        <f t="shared" si="11"/>
        <v>0</v>
      </c>
      <c r="F75" s="8">
        <f t="shared" si="12"/>
        <v>0</v>
      </c>
      <c r="G75" s="8"/>
      <c r="H75" s="9">
        <f t="shared" si="13"/>
        <v>0</v>
      </c>
      <c r="I75" s="39"/>
      <c r="J75" s="44"/>
      <c r="K75" s="45"/>
      <c r="L75" s="45"/>
      <c r="M75" s="46"/>
      <c r="N75" s="46"/>
      <c r="O75" s="46"/>
      <c r="P75" s="36"/>
      <c r="Q75" s="45"/>
      <c r="R75" s="3"/>
      <c r="S75" s="24"/>
      <c r="T75" s="11"/>
      <c r="U75" s="11"/>
      <c r="V75" s="15"/>
    </row>
    <row r="76" spans="3:22">
      <c r="C76" s="8">
        <f t="shared" si="9"/>
        <v>0</v>
      </c>
      <c r="D76" s="8">
        <f t="shared" si="10"/>
        <v>0</v>
      </c>
      <c r="E76" s="8">
        <f t="shared" si="11"/>
        <v>0</v>
      </c>
      <c r="F76" s="8">
        <f t="shared" si="12"/>
        <v>0</v>
      </c>
      <c r="G76" s="8"/>
      <c r="H76" s="9">
        <f t="shared" si="13"/>
        <v>0</v>
      </c>
      <c r="I76" s="39"/>
      <c r="J76" s="44"/>
      <c r="K76" s="45"/>
      <c r="L76" s="45"/>
      <c r="M76" s="46"/>
      <c r="N76" s="46"/>
      <c r="O76" s="46"/>
      <c r="P76" s="36"/>
      <c r="Q76" s="45"/>
      <c r="R76" s="3"/>
      <c r="S76" s="24"/>
      <c r="T76" s="11"/>
      <c r="U76" s="11"/>
      <c r="V76" s="15"/>
    </row>
    <row r="77" spans="3:22">
      <c r="C77" s="8">
        <f t="shared" si="9"/>
        <v>0</v>
      </c>
      <c r="D77" s="8">
        <f t="shared" si="10"/>
        <v>0</v>
      </c>
      <c r="E77" s="8">
        <f t="shared" si="11"/>
        <v>0</v>
      </c>
      <c r="F77" s="8">
        <f t="shared" si="12"/>
        <v>0</v>
      </c>
      <c r="G77" s="8"/>
      <c r="H77" s="9">
        <f t="shared" si="13"/>
        <v>0</v>
      </c>
      <c r="I77" s="39"/>
      <c r="J77" s="44"/>
      <c r="K77" s="45"/>
      <c r="L77" s="45"/>
      <c r="M77" s="46"/>
      <c r="N77" s="46"/>
      <c r="O77" s="46"/>
      <c r="P77" s="36"/>
      <c r="Q77" s="45"/>
      <c r="R77" s="3"/>
      <c r="S77" s="24"/>
      <c r="T77" s="11"/>
      <c r="U77" s="11"/>
      <c r="V77" s="15"/>
    </row>
    <row r="78" spans="3:22">
      <c r="C78" s="8">
        <f t="shared" si="9"/>
        <v>0</v>
      </c>
      <c r="D78" s="8">
        <f t="shared" si="10"/>
        <v>0</v>
      </c>
      <c r="E78" s="8">
        <f t="shared" si="11"/>
        <v>0</v>
      </c>
      <c r="F78" s="8">
        <f t="shared" si="12"/>
        <v>0</v>
      </c>
      <c r="G78" s="8"/>
      <c r="H78" s="9">
        <f t="shared" si="13"/>
        <v>0</v>
      </c>
      <c r="I78" s="39"/>
      <c r="J78" s="44"/>
      <c r="K78" s="45"/>
      <c r="L78" s="45"/>
      <c r="M78" s="46"/>
      <c r="N78" s="46"/>
      <c r="O78" s="46"/>
      <c r="P78" s="36"/>
      <c r="Q78" s="45"/>
      <c r="R78" s="3"/>
      <c r="S78" s="24"/>
      <c r="T78" s="11"/>
      <c r="U78" s="11"/>
      <c r="V78" s="15"/>
    </row>
    <row r="79" spans="3:22">
      <c r="C79" s="8">
        <f t="shared" si="9"/>
        <v>0</v>
      </c>
      <c r="D79" s="8">
        <f t="shared" si="10"/>
        <v>0</v>
      </c>
      <c r="E79" s="8">
        <f t="shared" si="11"/>
        <v>0</v>
      </c>
      <c r="F79" s="8">
        <f t="shared" si="12"/>
        <v>0</v>
      </c>
      <c r="G79" s="8"/>
      <c r="H79" s="9">
        <f t="shared" si="13"/>
        <v>0</v>
      </c>
      <c r="I79" s="39"/>
      <c r="J79" s="44"/>
      <c r="K79" s="45"/>
      <c r="L79" s="45"/>
      <c r="M79" s="46"/>
      <c r="N79" s="46"/>
      <c r="O79" s="46"/>
      <c r="P79" s="36"/>
      <c r="Q79" s="45"/>
      <c r="R79" s="3"/>
      <c r="S79" s="24"/>
      <c r="T79" s="11"/>
      <c r="U79" s="11"/>
      <c r="V79" s="15"/>
    </row>
    <row r="80" spans="3:22">
      <c r="C80" s="8">
        <f t="shared" si="9"/>
        <v>0</v>
      </c>
      <c r="D80" s="8">
        <f t="shared" si="10"/>
        <v>0</v>
      </c>
      <c r="E80" s="8">
        <f t="shared" si="11"/>
        <v>0</v>
      </c>
      <c r="F80" s="8">
        <f t="shared" si="12"/>
        <v>0</v>
      </c>
      <c r="G80" s="8"/>
      <c r="H80" s="9">
        <f t="shared" si="13"/>
        <v>0</v>
      </c>
      <c r="I80" s="39"/>
      <c r="J80" s="44"/>
      <c r="K80" s="45"/>
      <c r="L80" s="45"/>
      <c r="M80" s="46"/>
      <c r="N80" s="46"/>
      <c r="O80" s="46"/>
      <c r="P80" s="36"/>
      <c r="Q80" s="45"/>
      <c r="R80" s="3"/>
      <c r="S80" s="24"/>
      <c r="T80" s="11"/>
      <c r="U80" s="11"/>
      <c r="V80" s="15"/>
    </row>
    <row r="81" spans="3:22">
      <c r="C81" s="8">
        <f t="shared" si="9"/>
        <v>0</v>
      </c>
      <c r="D81" s="8">
        <f t="shared" si="10"/>
        <v>0</v>
      </c>
      <c r="E81" s="8">
        <f t="shared" si="11"/>
        <v>0</v>
      </c>
      <c r="F81" s="8">
        <f t="shared" si="12"/>
        <v>0</v>
      </c>
      <c r="G81" s="8"/>
      <c r="H81" s="9">
        <f t="shared" si="13"/>
        <v>0</v>
      </c>
      <c r="I81" s="39"/>
      <c r="J81" s="44"/>
      <c r="K81" s="45"/>
      <c r="L81" s="45"/>
      <c r="M81" s="46"/>
      <c r="N81" s="46"/>
      <c r="O81" s="46"/>
      <c r="P81" s="36"/>
      <c r="Q81" s="45"/>
      <c r="R81" s="3"/>
      <c r="S81" s="24"/>
      <c r="T81" s="11"/>
      <c r="U81" s="11"/>
      <c r="V81" s="15"/>
    </row>
    <row r="82" spans="3:22">
      <c r="C82" s="8">
        <f t="shared" si="9"/>
        <v>0</v>
      </c>
      <c r="D82" s="8">
        <f t="shared" si="10"/>
        <v>0</v>
      </c>
      <c r="E82" s="8">
        <f t="shared" si="11"/>
        <v>0</v>
      </c>
      <c r="F82" s="8">
        <f t="shared" si="12"/>
        <v>0</v>
      </c>
      <c r="G82" s="8"/>
      <c r="H82" s="9">
        <f t="shared" si="13"/>
        <v>0</v>
      </c>
      <c r="I82" s="39"/>
      <c r="J82" s="44"/>
      <c r="K82" s="45"/>
      <c r="L82" s="45"/>
      <c r="M82" s="46"/>
      <c r="N82" s="46"/>
      <c r="O82" s="46"/>
      <c r="P82" s="36"/>
      <c r="Q82" s="45"/>
      <c r="R82" s="3"/>
      <c r="S82" s="24"/>
      <c r="T82" s="11"/>
      <c r="U82" s="11"/>
      <c r="V82" s="15"/>
    </row>
    <row r="83" spans="3:22">
      <c r="C83" s="8">
        <f t="shared" si="9"/>
        <v>0</v>
      </c>
      <c r="D83" s="8">
        <f t="shared" si="10"/>
        <v>0</v>
      </c>
      <c r="E83" s="8">
        <f t="shared" si="11"/>
        <v>0</v>
      </c>
      <c r="F83" s="8">
        <f t="shared" si="12"/>
        <v>0</v>
      </c>
      <c r="G83" s="8"/>
      <c r="H83" s="9">
        <f t="shared" si="13"/>
        <v>0</v>
      </c>
      <c r="I83" s="39"/>
      <c r="J83" s="44"/>
      <c r="K83" s="45"/>
      <c r="L83" s="45"/>
      <c r="M83" s="46"/>
      <c r="N83" s="46"/>
      <c r="O83" s="46"/>
      <c r="P83" s="36"/>
      <c r="Q83" s="45"/>
      <c r="R83" s="3"/>
      <c r="S83" s="24"/>
      <c r="T83" s="11"/>
      <c r="U83" s="11"/>
      <c r="V83" s="15"/>
    </row>
    <row r="84" spans="3:22">
      <c r="C84" s="8">
        <f t="shared" si="9"/>
        <v>0</v>
      </c>
      <c r="D84" s="8">
        <f t="shared" si="10"/>
        <v>0</v>
      </c>
      <c r="E84" s="8">
        <f t="shared" si="11"/>
        <v>0</v>
      </c>
      <c r="F84" s="8">
        <f t="shared" si="12"/>
        <v>0</v>
      </c>
      <c r="G84" s="8"/>
      <c r="H84" s="9">
        <f t="shared" si="13"/>
        <v>0</v>
      </c>
      <c r="I84" s="39"/>
      <c r="J84" s="44"/>
      <c r="K84" s="45"/>
      <c r="L84" s="45"/>
      <c r="M84" s="46"/>
      <c r="N84" s="46"/>
      <c r="O84" s="46"/>
      <c r="P84" s="36"/>
      <c r="Q84" s="45"/>
      <c r="R84" s="3"/>
      <c r="S84" s="24"/>
      <c r="T84" s="11"/>
      <c r="U84" s="11"/>
      <c r="V84" s="15"/>
    </row>
    <row r="85" spans="3:22">
      <c r="C85" s="8">
        <f t="shared" si="9"/>
        <v>0</v>
      </c>
      <c r="D85" s="8">
        <f t="shared" si="10"/>
        <v>0</v>
      </c>
      <c r="E85" s="8">
        <f t="shared" si="11"/>
        <v>0</v>
      </c>
      <c r="F85" s="8">
        <f t="shared" si="12"/>
        <v>0</v>
      </c>
      <c r="G85" s="8"/>
      <c r="H85" s="9">
        <f t="shared" si="13"/>
        <v>0</v>
      </c>
      <c r="I85" s="39"/>
      <c r="J85" s="44"/>
      <c r="K85" s="45"/>
      <c r="L85" s="45"/>
      <c r="M85" s="46"/>
      <c r="N85" s="46"/>
      <c r="O85" s="46"/>
      <c r="P85" s="36"/>
      <c r="Q85" s="45"/>
      <c r="R85" s="3"/>
      <c r="S85" s="24"/>
      <c r="T85" s="11"/>
      <c r="U85" s="11"/>
      <c r="V85" s="15"/>
    </row>
    <row r="86" spans="3:22">
      <c r="C86" s="8">
        <f t="shared" si="9"/>
        <v>0</v>
      </c>
      <c r="D86" s="8">
        <f t="shared" si="10"/>
        <v>0</v>
      </c>
      <c r="E86" s="8">
        <f t="shared" si="11"/>
        <v>0</v>
      </c>
      <c r="F86" s="8">
        <f t="shared" si="12"/>
        <v>0</v>
      </c>
      <c r="G86" s="8"/>
      <c r="H86" s="9">
        <f t="shared" si="13"/>
        <v>0</v>
      </c>
      <c r="I86" s="39"/>
      <c r="J86" s="44"/>
      <c r="K86" s="45"/>
      <c r="L86" s="45"/>
      <c r="M86" s="46"/>
      <c r="N86" s="46"/>
      <c r="O86" s="46"/>
      <c r="P86" s="36"/>
      <c r="Q86" s="45"/>
      <c r="R86" s="3"/>
      <c r="S86" s="24"/>
      <c r="T86" s="11"/>
      <c r="U86" s="11"/>
      <c r="V86" s="15"/>
    </row>
    <row r="87" spans="3:22">
      <c r="C87" s="8">
        <f t="shared" si="9"/>
        <v>0</v>
      </c>
      <c r="D87" s="8">
        <f t="shared" si="10"/>
        <v>0</v>
      </c>
      <c r="E87" s="8">
        <f t="shared" si="11"/>
        <v>0</v>
      </c>
      <c r="F87" s="8">
        <f t="shared" si="12"/>
        <v>0</v>
      </c>
      <c r="G87" s="8"/>
      <c r="H87" s="9">
        <f t="shared" si="13"/>
        <v>0</v>
      </c>
      <c r="I87" s="39"/>
      <c r="J87" s="44"/>
      <c r="K87" s="45"/>
      <c r="L87" s="45"/>
      <c r="M87" s="46"/>
      <c r="N87" s="46"/>
      <c r="O87" s="46"/>
      <c r="P87" s="36"/>
      <c r="Q87" s="45"/>
      <c r="R87" s="3"/>
      <c r="S87" s="24"/>
      <c r="T87" s="11"/>
      <c r="U87" s="11"/>
      <c r="V87" s="15"/>
    </row>
    <row r="88" spans="3:22">
      <c r="C88" s="8">
        <f t="shared" si="9"/>
        <v>0</v>
      </c>
      <c r="D88" s="8">
        <f t="shared" si="10"/>
        <v>0</v>
      </c>
      <c r="E88" s="8">
        <f t="shared" si="11"/>
        <v>0</v>
      </c>
      <c r="F88" s="8">
        <f t="shared" si="12"/>
        <v>0</v>
      </c>
      <c r="G88" s="8"/>
      <c r="H88" s="9">
        <f t="shared" si="13"/>
        <v>0</v>
      </c>
      <c r="I88" s="39"/>
      <c r="J88" s="44"/>
      <c r="K88" s="45"/>
      <c r="L88" s="45"/>
      <c r="M88" s="46"/>
      <c r="N88" s="46"/>
      <c r="O88" s="46"/>
      <c r="P88" s="36"/>
      <c r="Q88" s="45"/>
      <c r="R88" s="3"/>
      <c r="S88" s="24"/>
      <c r="T88" s="11"/>
      <c r="U88" s="11"/>
      <c r="V88" s="15"/>
    </row>
    <row r="89" spans="3:22">
      <c r="C89" s="8">
        <f t="shared" si="9"/>
        <v>0</v>
      </c>
      <c r="D89" s="8">
        <f t="shared" si="10"/>
        <v>0</v>
      </c>
      <c r="E89" s="8">
        <f t="shared" si="11"/>
        <v>0</v>
      </c>
      <c r="F89" s="8">
        <f t="shared" si="12"/>
        <v>0</v>
      </c>
      <c r="G89" s="8"/>
      <c r="H89" s="9">
        <f t="shared" si="13"/>
        <v>0</v>
      </c>
      <c r="I89" s="39"/>
      <c r="J89" s="44"/>
      <c r="K89" s="45"/>
      <c r="L89" s="45"/>
      <c r="M89" s="46"/>
      <c r="N89" s="46"/>
      <c r="O89" s="46"/>
      <c r="P89" s="36"/>
      <c r="Q89" s="45"/>
      <c r="R89" s="3"/>
      <c r="S89" s="24"/>
      <c r="T89" s="11"/>
      <c r="U89" s="11"/>
      <c r="V89" s="15"/>
    </row>
    <row r="90" spans="3:22">
      <c r="C90" s="8">
        <f t="shared" si="9"/>
        <v>0</v>
      </c>
      <c r="D90" s="8">
        <f t="shared" si="10"/>
        <v>0</v>
      </c>
      <c r="E90" s="8">
        <f t="shared" si="11"/>
        <v>0</v>
      </c>
      <c r="F90" s="8">
        <f t="shared" si="12"/>
        <v>0</v>
      </c>
      <c r="G90" s="8"/>
      <c r="H90" s="9">
        <f t="shared" si="13"/>
        <v>0</v>
      </c>
      <c r="I90" s="39"/>
      <c r="J90" s="44"/>
      <c r="K90" s="45"/>
      <c r="L90" s="45"/>
      <c r="M90" s="46"/>
      <c r="N90" s="46"/>
      <c r="O90" s="46"/>
      <c r="P90" s="36"/>
      <c r="Q90" s="45"/>
      <c r="R90" s="3"/>
      <c r="S90" s="24"/>
      <c r="T90" s="11"/>
      <c r="U90" s="11"/>
      <c r="V90" s="15"/>
    </row>
    <row r="91" spans="3:22">
      <c r="C91" s="8">
        <f t="shared" si="9"/>
        <v>0</v>
      </c>
      <c r="D91" s="8">
        <f t="shared" si="10"/>
        <v>0</v>
      </c>
      <c r="E91" s="8">
        <f t="shared" si="11"/>
        <v>0</v>
      </c>
      <c r="F91" s="8">
        <f t="shared" si="12"/>
        <v>0</v>
      </c>
      <c r="G91" s="8"/>
      <c r="H91" s="9">
        <f t="shared" si="13"/>
        <v>0</v>
      </c>
      <c r="I91" s="39"/>
      <c r="J91" s="44"/>
      <c r="K91" s="45"/>
      <c r="L91" s="45"/>
      <c r="M91" s="46"/>
      <c r="N91" s="46"/>
      <c r="O91" s="46"/>
      <c r="P91" s="36"/>
      <c r="Q91" s="45"/>
      <c r="R91" s="3"/>
      <c r="S91" s="24"/>
      <c r="T91" s="11"/>
      <c r="U91" s="11"/>
      <c r="V91" s="15"/>
    </row>
    <row r="92" spans="3:22">
      <c r="C92" s="8">
        <f t="shared" si="9"/>
        <v>0</v>
      </c>
      <c r="D92" s="8">
        <f t="shared" si="10"/>
        <v>0</v>
      </c>
      <c r="E92" s="8">
        <f t="shared" si="11"/>
        <v>0</v>
      </c>
      <c r="F92" s="8">
        <f t="shared" si="12"/>
        <v>0</v>
      </c>
      <c r="G92" s="8"/>
      <c r="H92" s="9">
        <f t="shared" si="13"/>
        <v>0</v>
      </c>
      <c r="I92" s="39"/>
      <c r="J92" s="44"/>
      <c r="K92" s="45"/>
      <c r="L92" s="45"/>
      <c r="M92" s="46"/>
      <c r="N92" s="46"/>
      <c r="O92" s="46"/>
      <c r="P92" s="36"/>
      <c r="Q92" s="45"/>
      <c r="R92" s="3"/>
      <c r="S92" s="24"/>
      <c r="T92" s="11"/>
      <c r="U92" s="11"/>
      <c r="V92" s="15"/>
    </row>
    <row r="93" spans="3:22">
      <c r="C93" s="8">
        <f t="shared" si="9"/>
        <v>0</v>
      </c>
      <c r="D93" s="8">
        <f t="shared" si="10"/>
        <v>0</v>
      </c>
      <c r="E93" s="8">
        <f t="shared" si="11"/>
        <v>0</v>
      </c>
      <c r="F93" s="8">
        <f t="shared" si="12"/>
        <v>0</v>
      </c>
      <c r="G93" s="8"/>
      <c r="H93" s="9">
        <f t="shared" si="13"/>
        <v>0</v>
      </c>
      <c r="I93" s="39"/>
      <c r="J93" s="44"/>
      <c r="K93" s="45"/>
      <c r="L93" s="45"/>
      <c r="M93" s="46"/>
      <c r="N93" s="46"/>
      <c r="O93" s="46"/>
      <c r="P93" s="36"/>
      <c r="Q93" s="45"/>
      <c r="R93" s="3"/>
      <c r="S93" s="24"/>
      <c r="T93" s="11"/>
      <c r="U93" s="11"/>
      <c r="V93" s="15"/>
    </row>
    <row r="94" spans="3:22">
      <c r="C94" s="8">
        <f t="shared" si="9"/>
        <v>0</v>
      </c>
      <c r="D94" s="8">
        <f t="shared" si="10"/>
        <v>0</v>
      </c>
      <c r="E94" s="8">
        <f t="shared" si="11"/>
        <v>0</v>
      </c>
      <c r="F94" s="8">
        <f t="shared" si="12"/>
        <v>0</v>
      </c>
      <c r="G94" s="8"/>
      <c r="H94" s="9">
        <f t="shared" si="13"/>
        <v>0</v>
      </c>
      <c r="I94" s="39"/>
      <c r="J94" s="44"/>
      <c r="K94" s="45"/>
      <c r="L94" s="45"/>
      <c r="M94" s="46"/>
      <c r="N94" s="46"/>
      <c r="O94" s="46"/>
      <c r="P94" s="36"/>
      <c r="Q94" s="45"/>
      <c r="R94" s="3"/>
      <c r="S94" s="24"/>
      <c r="T94" s="11"/>
      <c r="U94" s="11"/>
      <c r="V94" s="15"/>
    </row>
    <row r="95" spans="3:22">
      <c r="C95" s="8">
        <f t="shared" si="9"/>
        <v>0</v>
      </c>
      <c r="D95" s="8">
        <f t="shared" si="10"/>
        <v>0</v>
      </c>
      <c r="E95" s="8">
        <f t="shared" si="11"/>
        <v>0</v>
      </c>
      <c r="F95" s="8">
        <f t="shared" si="12"/>
        <v>0</v>
      </c>
      <c r="G95" s="8"/>
      <c r="H95" s="9">
        <f t="shared" si="13"/>
        <v>0</v>
      </c>
      <c r="I95" s="39"/>
      <c r="J95" s="44"/>
      <c r="K95" s="45"/>
      <c r="L95" s="45"/>
      <c r="M95" s="46"/>
      <c r="N95" s="46"/>
      <c r="O95" s="46"/>
      <c r="P95" s="36"/>
      <c r="Q95" s="45"/>
      <c r="R95" s="3"/>
      <c r="S95" s="24"/>
      <c r="T95" s="11"/>
      <c r="U95" s="11"/>
      <c r="V95" s="15"/>
    </row>
    <row r="96" spans="3:22">
      <c r="C96" s="8">
        <f t="shared" si="9"/>
        <v>0</v>
      </c>
      <c r="D96" s="8">
        <f t="shared" si="10"/>
        <v>0</v>
      </c>
      <c r="E96" s="8">
        <f t="shared" si="11"/>
        <v>0</v>
      </c>
      <c r="F96" s="8">
        <f t="shared" si="12"/>
        <v>0</v>
      </c>
      <c r="G96" s="8"/>
      <c r="H96" s="9">
        <f t="shared" si="13"/>
        <v>0</v>
      </c>
      <c r="I96" s="39"/>
      <c r="J96" s="44"/>
      <c r="K96" s="45"/>
      <c r="L96" s="45"/>
      <c r="M96" s="46"/>
      <c r="N96" s="46"/>
      <c r="O96" s="46"/>
      <c r="P96" s="36"/>
      <c r="Q96" s="45"/>
      <c r="R96" s="3"/>
      <c r="S96" s="24"/>
      <c r="T96" s="11"/>
      <c r="U96" s="11"/>
      <c r="V96" s="15"/>
    </row>
    <row r="97" spans="3:22">
      <c r="C97" s="8">
        <f t="shared" si="9"/>
        <v>0</v>
      </c>
      <c r="D97" s="8">
        <f t="shared" si="10"/>
        <v>0</v>
      </c>
      <c r="E97" s="8">
        <f t="shared" si="11"/>
        <v>0</v>
      </c>
      <c r="F97" s="8">
        <f t="shared" si="12"/>
        <v>0</v>
      </c>
      <c r="G97" s="8"/>
      <c r="H97" s="9">
        <f t="shared" si="13"/>
        <v>0</v>
      </c>
      <c r="I97" s="39"/>
      <c r="J97" s="44"/>
      <c r="K97" s="45"/>
      <c r="L97" s="45"/>
      <c r="M97" s="46"/>
      <c r="N97" s="46"/>
      <c r="O97" s="46"/>
      <c r="P97" s="36"/>
      <c r="Q97" s="45"/>
      <c r="R97" s="3"/>
      <c r="S97" s="24"/>
      <c r="T97" s="11"/>
      <c r="U97" s="11"/>
      <c r="V97" s="15"/>
    </row>
    <row r="98" spans="3:22">
      <c r="C98" s="8">
        <f t="shared" si="9"/>
        <v>0</v>
      </c>
      <c r="D98" s="8">
        <f t="shared" si="10"/>
        <v>0</v>
      </c>
      <c r="E98" s="8">
        <f t="shared" si="11"/>
        <v>0</v>
      </c>
      <c r="F98" s="8">
        <f t="shared" si="12"/>
        <v>0</v>
      </c>
      <c r="G98" s="8"/>
      <c r="H98" s="9">
        <f t="shared" si="13"/>
        <v>0</v>
      </c>
      <c r="I98" s="39"/>
      <c r="J98" s="44"/>
      <c r="K98" s="45"/>
      <c r="L98" s="45"/>
      <c r="M98" s="46"/>
      <c r="N98" s="46"/>
      <c r="O98" s="46"/>
      <c r="P98" s="36"/>
      <c r="Q98" s="45"/>
      <c r="R98" s="3"/>
      <c r="S98" s="24"/>
      <c r="T98" s="11"/>
      <c r="U98" s="11"/>
      <c r="V98" s="15"/>
    </row>
    <row r="99" spans="3:22">
      <c r="C99" s="8">
        <f t="shared" si="9"/>
        <v>0</v>
      </c>
      <c r="D99" s="8">
        <f t="shared" si="10"/>
        <v>0</v>
      </c>
      <c r="E99" s="8">
        <f t="shared" si="11"/>
        <v>0</v>
      </c>
      <c r="F99" s="8">
        <f t="shared" si="12"/>
        <v>0</v>
      </c>
      <c r="G99" s="8"/>
      <c r="H99" s="9">
        <f t="shared" si="13"/>
        <v>0</v>
      </c>
      <c r="I99" s="39"/>
      <c r="J99" s="44"/>
      <c r="K99" s="45"/>
      <c r="L99" s="45"/>
      <c r="M99" s="46"/>
      <c r="N99" s="46"/>
      <c r="O99" s="46"/>
      <c r="P99" s="36"/>
      <c r="Q99" s="45"/>
      <c r="R99" s="3"/>
      <c r="S99" s="24"/>
      <c r="T99" s="11"/>
      <c r="U99" s="11"/>
      <c r="V99" s="15"/>
    </row>
    <row r="100" spans="3:22">
      <c r="C100" s="8">
        <f t="shared" si="9"/>
        <v>0</v>
      </c>
      <c r="D100" s="8">
        <f t="shared" si="10"/>
        <v>0</v>
      </c>
      <c r="E100" s="8">
        <f t="shared" si="11"/>
        <v>0</v>
      </c>
      <c r="F100" s="8">
        <f t="shared" si="12"/>
        <v>0</v>
      </c>
      <c r="G100" s="8"/>
      <c r="H100" s="9">
        <f t="shared" si="13"/>
        <v>0</v>
      </c>
      <c r="I100" s="39"/>
      <c r="J100" s="44"/>
      <c r="K100" s="45"/>
      <c r="L100" s="45"/>
      <c r="M100" s="46"/>
      <c r="N100" s="46"/>
      <c r="O100" s="46"/>
      <c r="P100" s="36"/>
      <c r="Q100" s="45"/>
      <c r="R100" s="3"/>
      <c r="S100" s="25"/>
      <c r="T100" s="17"/>
      <c r="U100" s="17"/>
      <c r="V100" s="18"/>
    </row>
    <row r="101" spans="3:22">
      <c r="C101" s="8">
        <f t="shared" si="9"/>
        <v>0</v>
      </c>
      <c r="D101" s="8">
        <f t="shared" si="10"/>
        <v>0</v>
      </c>
      <c r="E101" s="8">
        <f t="shared" si="11"/>
        <v>0</v>
      </c>
      <c r="F101" s="8">
        <f t="shared" si="12"/>
        <v>0</v>
      </c>
      <c r="G101" s="8"/>
      <c r="H101" s="9">
        <f t="shared" si="13"/>
        <v>0</v>
      </c>
      <c r="I101" s="39"/>
      <c r="J101" s="44"/>
      <c r="K101" s="45"/>
      <c r="L101" s="45"/>
      <c r="M101" s="46"/>
      <c r="N101" s="46"/>
      <c r="O101" s="46"/>
      <c r="P101" s="36"/>
      <c r="Q101" s="45"/>
      <c r="R101" s="3"/>
      <c r="S101" s="2"/>
      <c r="T101" s="2"/>
    </row>
    <row r="102" spans="3:22">
      <c r="C102" s="8">
        <f t="shared" si="9"/>
        <v>0</v>
      </c>
      <c r="D102" s="8">
        <f t="shared" si="10"/>
        <v>0</v>
      </c>
      <c r="E102" s="8">
        <f t="shared" si="11"/>
        <v>0</v>
      </c>
      <c r="F102" s="8">
        <f t="shared" si="12"/>
        <v>0</v>
      </c>
      <c r="G102" s="8"/>
      <c r="H102" s="9">
        <f t="shared" si="13"/>
        <v>0</v>
      </c>
      <c r="I102" s="39"/>
      <c r="J102" s="44"/>
      <c r="K102" s="45"/>
      <c r="L102" s="45"/>
      <c r="M102" s="46"/>
      <c r="N102" s="46"/>
      <c r="O102" s="46"/>
      <c r="P102" s="36"/>
      <c r="Q102" s="45"/>
      <c r="R102" s="3"/>
      <c r="S102" s="2"/>
      <c r="T102" s="2"/>
    </row>
    <row r="103" spans="3:22">
      <c r="C103" s="8">
        <f t="shared" si="9"/>
        <v>0</v>
      </c>
      <c r="D103" s="8">
        <f t="shared" si="10"/>
        <v>0</v>
      </c>
      <c r="E103" s="8">
        <f t="shared" si="11"/>
        <v>0</v>
      </c>
      <c r="F103" s="8">
        <f t="shared" si="12"/>
        <v>0</v>
      </c>
      <c r="G103" s="8"/>
      <c r="H103" s="9">
        <f t="shared" si="13"/>
        <v>0</v>
      </c>
      <c r="I103" s="39"/>
      <c r="J103" s="44"/>
      <c r="K103" s="45"/>
      <c r="L103" s="45"/>
      <c r="M103" s="46"/>
      <c r="N103" s="46"/>
      <c r="O103" s="46"/>
      <c r="P103" s="36"/>
      <c r="Q103" s="45"/>
      <c r="R103" s="3"/>
      <c r="S103" s="2"/>
      <c r="T103" s="2"/>
    </row>
    <row r="104" spans="3:22">
      <c r="C104" s="8">
        <f t="shared" si="9"/>
        <v>0</v>
      </c>
      <c r="D104" s="8">
        <f t="shared" si="10"/>
        <v>0</v>
      </c>
      <c r="E104" s="8">
        <f t="shared" si="11"/>
        <v>0</v>
      </c>
      <c r="F104" s="8">
        <f t="shared" si="12"/>
        <v>0</v>
      </c>
      <c r="G104" s="8"/>
      <c r="H104" s="9">
        <f t="shared" si="13"/>
        <v>0</v>
      </c>
      <c r="I104" s="39"/>
      <c r="J104" s="44"/>
      <c r="K104" s="45"/>
      <c r="L104" s="45"/>
      <c r="M104" s="46"/>
      <c r="N104" s="46"/>
      <c r="O104" s="46"/>
      <c r="P104" s="36"/>
      <c r="Q104" s="45"/>
      <c r="R104" s="3"/>
      <c r="S104" s="2"/>
      <c r="T104" s="2"/>
    </row>
    <row r="105" spans="3:22">
      <c r="C105" s="8">
        <f t="shared" si="9"/>
        <v>0</v>
      </c>
      <c r="D105" s="8">
        <f t="shared" si="10"/>
        <v>0</v>
      </c>
      <c r="E105" s="8">
        <f t="shared" si="11"/>
        <v>0</v>
      </c>
      <c r="F105" s="8">
        <f t="shared" si="12"/>
        <v>0</v>
      </c>
      <c r="G105" s="8"/>
      <c r="H105" s="9">
        <f t="shared" si="13"/>
        <v>0</v>
      </c>
      <c r="I105" s="39"/>
      <c r="J105" s="44"/>
      <c r="K105" s="45"/>
      <c r="L105" s="45"/>
      <c r="M105" s="46"/>
      <c r="N105" s="46"/>
      <c r="O105" s="46"/>
      <c r="P105" s="36"/>
      <c r="Q105" s="45"/>
      <c r="R105" s="3"/>
      <c r="S105" s="2"/>
      <c r="T105" s="2"/>
    </row>
    <row r="106" spans="3:22">
      <c r="C106" s="8">
        <f t="shared" si="9"/>
        <v>0</v>
      </c>
      <c r="D106" s="8">
        <f t="shared" si="10"/>
        <v>0</v>
      </c>
      <c r="E106" s="8">
        <f t="shared" si="11"/>
        <v>0</v>
      </c>
      <c r="F106" s="8">
        <f t="shared" si="12"/>
        <v>0</v>
      </c>
      <c r="G106" s="8"/>
      <c r="H106" s="9">
        <f t="shared" si="13"/>
        <v>0</v>
      </c>
      <c r="I106" s="39"/>
      <c r="J106" s="44"/>
      <c r="K106" s="45"/>
      <c r="L106" s="45"/>
      <c r="M106" s="46"/>
      <c r="N106" s="46"/>
      <c r="O106" s="46"/>
      <c r="P106" s="36"/>
      <c r="Q106" s="45"/>
      <c r="R106" s="3"/>
      <c r="S106" s="2"/>
      <c r="T106" s="2"/>
    </row>
    <row r="107" spans="3:22">
      <c r="C107" s="8">
        <f t="shared" si="9"/>
        <v>0</v>
      </c>
      <c r="D107" s="8">
        <f t="shared" si="10"/>
        <v>0</v>
      </c>
      <c r="E107" s="8">
        <f t="shared" si="11"/>
        <v>0</v>
      </c>
      <c r="F107" s="8">
        <f t="shared" si="12"/>
        <v>0</v>
      </c>
      <c r="G107" s="8"/>
      <c r="H107" s="9">
        <f t="shared" si="13"/>
        <v>0</v>
      </c>
      <c r="I107" s="39"/>
      <c r="J107" s="44"/>
      <c r="K107" s="45"/>
      <c r="L107" s="45"/>
      <c r="M107" s="46"/>
      <c r="N107" s="46"/>
      <c r="O107" s="46"/>
      <c r="P107" s="36"/>
      <c r="Q107" s="45"/>
      <c r="R107" s="3"/>
      <c r="S107" s="2"/>
      <c r="T107" s="2"/>
    </row>
    <row r="108" spans="3:22">
      <c r="C108" s="8">
        <f t="shared" si="9"/>
        <v>0</v>
      </c>
      <c r="D108" s="8">
        <f t="shared" si="10"/>
        <v>0</v>
      </c>
      <c r="E108" s="8">
        <f t="shared" si="11"/>
        <v>0</v>
      </c>
      <c r="F108" s="8">
        <f t="shared" si="12"/>
        <v>0</v>
      </c>
      <c r="G108" s="8"/>
      <c r="H108" s="9">
        <f t="shared" si="13"/>
        <v>0</v>
      </c>
      <c r="I108" s="39"/>
      <c r="J108" s="44"/>
      <c r="K108" s="45"/>
      <c r="L108" s="45"/>
      <c r="M108" s="46"/>
      <c r="N108" s="46"/>
      <c r="O108" s="46"/>
      <c r="P108" s="36"/>
      <c r="Q108" s="45"/>
      <c r="R108" s="3"/>
      <c r="S108" s="2"/>
      <c r="T108" s="2"/>
    </row>
    <row r="109" spans="3:22">
      <c r="C109" s="8">
        <f t="shared" si="9"/>
        <v>0</v>
      </c>
      <c r="D109" s="8">
        <f t="shared" si="10"/>
        <v>0</v>
      </c>
      <c r="E109" s="8">
        <f t="shared" si="11"/>
        <v>0</v>
      </c>
      <c r="F109" s="8">
        <f t="shared" si="12"/>
        <v>0</v>
      </c>
      <c r="G109" s="8"/>
      <c r="H109" s="9">
        <f t="shared" si="13"/>
        <v>0</v>
      </c>
      <c r="I109" s="39"/>
      <c r="J109" s="44"/>
      <c r="K109" s="45"/>
      <c r="L109" s="45"/>
      <c r="M109" s="46"/>
      <c r="N109" s="46"/>
      <c r="O109" s="46"/>
      <c r="P109" s="36"/>
      <c r="Q109" s="45"/>
      <c r="R109" s="3"/>
      <c r="S109" s="2"/>
      <c r="T109" s="2"/>
    </row>
    <row r="110" spans="3:22">
      <c r="C110" s="8">
        <f t="shared" si="9"/>
        <v>0</v>
      </c>
      <c r="D110" s="8">
        <f t="shared" si="10"/>
        <v>0</v>
      </c>
      <c r="E110" s="8">
        <f t="shared" si="11"/>
        <v>0</v>
      </c>
      <c r="F110" s="8">
        <f t="shared" si="12"/>
        <v>0</v>
      </c>
      <c r="G110" s="8"/>
      <c r="H110" s="9">
        <f t="shared" si="13"/>
        <v>0</v>
      </c>
      <c r="I110" s="39"/>
      <c r="J110" s="44"/>
      <c r="K110" s="45"/>
      <c r="L110" s="45"/>
      <c r="M110" s="46"/>
      <c r="N110" s="46"/>
      <c r="O110" s="46"/>
      <c r="P110" s="36"/>
      <c r="Q110" s="45"/>
      <c r="R110" s="3"/>
      <c r="S110" s="2"/>
      <c r="T110" s="2"/>
    </row>
    <row r="111" spans="3:22">
      <c r="C111" s="8">
        <f t="shared" si="9"/>
        <v>0</v>
      </c>
      <c r="D111" s="8">
        <f t="shared" si="10"/>
        <v>0</v>
      </c>
      <c r="E111" s="8">
        <f t="shared" si="11"/>
        <v>0</v>
      </c>
      <c r="F111" s="8">
        <f t="shared" si="12"/>
        <v>0</v>
      </c>
      <c r="G111" s="8"/>
      <c r="H111" s="9">
        <f t="shared" si="13"/>
        <v>0</v>
      </c>
      <c r="I111" s="39"/>
      <c r="J111" s="44"/>
      <c r="K111" s="45"/>
      <c r="L111" s="45"/>
      <c r="M111" s="46"/>
      <c r="N111" s="46"/>
      <c r="O111" s="46"/>
      <c r="P111" s="36"/>
      <c r="Q111" s="45"/>
      <c r="R111" s="3"/>
      <c r="S111" s="2"/>
      <c r="T111" s="2"/>
    </row>
    <row r="112" spans="3:22">
      <c r="C112" s="8">
        <f t="shared" si="9"/>
        <v>0</v>
      </c>
      <c r="D112" s="8">
        <f t="shared" si="10"/>
        <v>0</v>
      </c>
      <c r="E112" s="8">
        <f t="shared" si="11"/>
        <v>0</v>
      </c>
      <c r="F112" s="8">
        <f t="shared" si="12"/>
        <v>0</v>
      </c>
      <c r="G112" s="8"/>
      <c r="H112" s="9">
        <f t="shared" si="13"/>
        <v>0</v>
      </c>
      <c r="I112" s="39"/>
      <c r="J112" s="44"/>
      <c r="K112" s="45"/>
      <c r="L112" s="45"/>
      <c r="M112" s="46"/>
      <c r="N112" s="46"/>
      <c r="O112" s="46"/>
      <c r="P112" s="36"/>
      <c r="Q112" s="45"/>
      <c r="R112" s="3"/>
      <c r="S112" s="2"/>
      <c r="T112" s="2"/>
    </row>
    <row r="113" spans="3:20">
      <c r="C113" s="8">
        <f t="shared" si="9"/>
        <v>0</v>
      </c>
      <c r="D113" s="8">
        <f t="shared" si="10"/>
        <v>0</v>
      </c>
      <c r="E113" s="8">
        <f t="shared" si="11"/>
        <v>0</v>
      </c>
      <c r="F113" s="8">
        <f t="shared" si="12"/>
        <v>0</v>
      </c>
      <c r="G113" s="8"/>
      <c r="H113" s="9">
        <f t="shared" si="13"/>
        <v>0</v>
      </c>
      <c r="I113" s="39"/>
      <c r="J113" s="44"/>
      <c r="K113" s="45"/>
      <c r="L113" s="45"/>
      <c r="M113" s="46"/>
      <c r="N113" s="46"/>
      <c r="O113" s="46"/>
      <c r="P113" s="36"/>
      <c r="Q113" s="45"/>
      <c r="R113" s="3"/>
      <c r="S113" s="2"/>
      <c r="T113" s="2"/>
    </row>
    <row r="114" spans="3:20">
      <c r="C114" s="8">
        <f t="shared" si="9"/>
        <v>0</v>
      </c>
      <c r="D114" s="8">
        <f t="shared" si="10"/>
        <v>0</v>
      </c>
      <c r="E114" s="8">
        <f t="shared" si="11"/>
        <v>0</v>
      </c>
      <c r="F114" s="8">
        <f t="shared" si="12"/>
        <v>0</v>
      </c>
      <c r="G114" s="8"/>
      <c r="H114" s="9">
        <f t="shared" si="13"/>
        <v>0</v>
      </c>
      <c r="I114" s="39"/>
      <c r="J114" s="44"/>
      <c r="K114" s="45"/>
      <c r="L114" s="45"/>
      <c r="M114" s="46"/>
      <c r="N114" s="46"/>
      <c r="O114" s="46"/>
      <c r="P114" s="36"/>
      <c r="Q114" s="45"/>
      <c r="R114" s="3"/>
      <c r="S114" s="2"/>
      <c r="T114" s="2"/>
    </row>
    <row r="115" spans="3:20">
      <c r="C115" s="8">
        <f t="shared" si="9"/>
        <v>0</v>
      </c>
      <c r="D115" s="8">
        <f t="shared" si="10"/>
        <v>0</v>
      </c>
      <c r="E115" s="8">
        <f t="shared" si="11"/>
        <v>0</v>
      </c>
      <c r="F115" s="8">
        <f t="shared" si="12"/>
        <v>0</v>
      </c>
      <c r="G115" s="8"/>
      <c r="H115" s="9">
        <f t="shared" si="13"/>
        <v>0</v>
      </c>
      <c r="I115" s="39"/>
      <c r="J115" s="44"/>
      <c r="K115" s="45"/>
      <c r="L115" s="45"/>
      <c r="M115" s="46"/>
      <c r="N115" s="46"/>
      <c r="O115" s="46"/>
      <c r="P115" s="36"/>
      <c r="Q115" s="45"/>
      <c r="R115" s="3"/>
      <c r="S115" s="2"/>
      <c r="T115" s="2"/>
    </row>
    <row r="116" spans="3:20">
      <c r="C116" s="8">
        <f t="shared" si="9"/>
        <v>0</v>
      </c>
      <c r="D116" s="8">
        <f t="shared" si="10"/>
        <v>0</v>
      </c>
      <c r="E116" s="8">
        <f t="shared" si="11"/>
        <v>0</v>
      </c>
      <c r="F116" s="8">
        <f t="shared" si="12"/>
        <v>0</v>
      </c>
      <c r="G116" s="8"/>
      <c r="H116" s="9">
        <f t="shared" si="13"/>
        <v>0</v>
      </c>
      <c r="I116" s="39"/>
      <c r="J116" s="44"/>
      <c r="K116" s="45"/>
      <c r="L116" s="45"/>
      <c r="M116" s="46"/>
      <c r="N116" s="46"/>
      <c r="O116" s="46"/>
      <c r="P116" s="36"/>
      <c r="Q116" s="45"/>
      <c r="R116" s="3"/>
      <c r="S116" s="2"/>
      <c r="T116" s="2"/>
    </row>
    <row r="117" spans="3:20">
      <c r="C117" s="8">
        <f t="shared" si="9"/>
        <v>0</v>
      </c>
      <c r="D117" s="8">
        <f t="shared" si="10"/>
        <v>0</v>
      </c>
      <c r="E117" s="8">
        <f t="shared" si="11"/>
        <v>0</v>
      </c>
      <c r="F117" s="8">
        <f t="shared" si="12"/>
        <v>0</v>
      </c>
      <c r="G117" s="8"/>
      <c r="H117" s="9">
        <f t="shared" si="13"/>
        <v>0</v>
      </c>
      <c r="I117" s="39"/>
      <c r="J117" s="44"/>
      <c r="K117" s="45"/>
      <c r="L117" s="45"/>
      <c r="M117" s="46"/>
      <c r="N117" s="46"/>
      <c r="O117" s="46"/>
      <c r="P117" s="36"/>
      <c r="Q117" s="45"/>
      <c r="R117" s="3"/>
      <c r="S117" s="2"/>
      <c r="T117" s="2"/>
    </row>
    <row r="118" spans="3:20">
      <c r="C118" s="8">
        <f t="shared" si="9"/>
        <v>0</v>
      </c>
      <c r="D118" s="8">
        <f t="shared" si="10"/>
        <v>0</v>
      </c>
      <c r="E118" s="8">
        <f t="shared" si="11"/>
        <v>0</v>
      </c>
      <c r="F118" s="8">
        <f t="shared" si="12"/>
        <v>0</v>
      </c>
      <c r="G118" s="8"/>
      <c r="H118" s="9">
        <f t="shared" si="13"/>
        <v>0</v>
      </c>
      <c r="I118" s="39"/>
      <c r="J118" s="44"/>
      <c r="K118" s="45"/>
      <c r="L118" s="45"/>
      <c r="M118" s="46"/>
      <c r="N118" s="46"/>
      <c r="O118" s="46"/>
      <c r="P118" s="36"/>
      <c r="Q118" s="45"/>
      <c r="R118" s="3"/>
      <c r="S118" s="2"/>
      <c r="T118" s="2"/>
    </row>
    <row r="119" spans="3:20">
      <c r="C119" s="8">
        <f t="shared" si="9"/>
        <v>0</v>
      </c>
      <c r="D119" s="8">
        <f t="shared" si="10"/>
        <v>0</v>
      </c>
      <c r="E119" s="8">
        <f t="shared" si="11"/>
        <v>0</v>
      </c>
      <c r="F119" s="8">
        <f t="shared" si="12"/>
        <v>0</v>
      </c>
      <c r="G119" s="8"/>
      <c r="H119" s="9">
        <f t="shared" si="13"/>
        <v>0</v>
      </c>
      <c r="I119" s="39"/>
      <c r="J119" s="44"/>
      <c r="K119" s="45"/>
      <c r="L119" s="45"/>
      <c r="M119" s="46"/>
      <c r="N119" s="46"/>
      <c r="O119" s="46"/>
      <c r="P119" s="36"/>
      <c r="Q119" s="45"/>
      <c r="R119" s="3"/>
      <c r="S119" s="2"/>
      <c r="T119" s="2"/>
    </row>
    <row r="120" spans="3:20">
      <c r="C120" s="8">
        <f t="shared" si="9"/>
        <v>0</v>
      </c>
      <c r="D120" s="8">
        <f t="shared" si="10"/>
        <v>0</v>
      </c>
      <c r="E120" s="8">
        <f t="shared" si="11"/>
        <v>0</v>
      </c>
      <c r="F120" s="8">
        <f t="shared" si="12"/>
        <v>0</v>
      </c>
      <c r="G120" s="8"/>
      <c r="H120" s="9">
        <f t="shared" si="13"/>
        <v>0</v>
      </c>
      <c r="I120" s="39"/>
      <c r="J120" s="44"/>
      <c r="K120" s="45"/>
      <c r="L120" s="45"/>
      <c r="M120" s="46"/>
      <c r="N120" s="46"/>
      <c r="O120" s="46"/>
      <c r="P120" s="36"/>
      <c r="Q120" s="45"/>
      <c r="R120" s="3"/>
      <c r="S120" s="2"/>
      <c r="T120" s="2"/>
    </row>
    <row r="121" spans="3:20">
      <c r="C121" s="8">
        <f t="shared" si="9"/>
        <v>0</v>
      </c>
      <c r="D121" s="8">
        <f t="shared" si="10"/>
        <v>0</v>
      </c>
      <c r="E121" s="8">
        <f t="shared" si="11"/>
        <v>0</v>
      </c>
      <c r="F121" s="8">
        <f t="shared" si="12"/>
        <v>0</v>
      </c>
      <c r="G121" s="8"/>
      <c r="H121" s="9">
        <f t="shared" si="13"/>
        <v>0</v>
      </c>
      <c r="I121" s="39"/>
      <c r="J121" s="44"/>
      <c r="K121" s="45"/>
      <c r="L121" s="45"/>
      <c r="M121" s="46"/>
      <c r="N121" s="46"/>
      <c r="O121" s="46"/>
      <c r="P121" s="36"/>
      <c r="Q121" s="45"/>
      <c r="R121" s="3"/>
      <c r="S121" s="2"/>
      <c r="T121" s="2"/>
    </row>
    <row r="122" spans="3:20">
      <c r="C122" s="8">
        <f t="shared" si="9"/>
        <v>0</v>
      </c>
      <c r="D122" s="8">
        <f t="shared" si="10"/>
        <v>0</v>
      </c>
      <c r="E122" s="8">
        <f t="shared" si="11"/>
        <v>0</v>
      </c>
      <c r="F122" s="8">
        <f t="shared" si="12"/>
        <v>0</v>
      </c>
      <c r="G122" s="8"/>
      <c r="H122" s="9">
        <f t="shared" si="13"/>
        <v>0</v>
      </c>
      <c r="I122" s="39"/>
      <c r="J122" s="44"/>
      <c r="K122" s="45"/>
      <c r="L122" s="45"/>
      <c r="M122" s="46"/>
      <c r="N122" s="46"/>
      <c r="O122" s="46"/>
      <c r="P122" s="36"/>
      <c r="Q122" s="45"/>
      <c r="R122" s="3"/>
      <c r="S122" s="2"/>
      <c r="T122" s="2"/>
    </row>
    <row r="123" spans="3:20">
      <c r="C123" s="8">
        <f t="shared" si="9"/>
        <v>0</v>
      </c>
      <c r="D123" s="8">
        <f t="shared" si="10"/>
        <v>0</v>
      </c>
      <c r="E123" s="8">
        <f t="shared" si="11"/>
        <v>0</v>
      </c>
      <c r="F123" s="8">
        <f t="shared" si="12"/>
        <v>0</v>
      </c>
      <c r="G123" s="8"/>
      <c r="H123" s="9">
        <f t="shared" si="13"/>
        <v>0</v>
      </c>
      <c r="I123" s="39"/>
      <c r="J123" s="44"/>
      <c r="K123" s="45"/>
      <c r="L123" s="45"/>
      <c r="M123" s="46"/>
      <c r="N123" s="46"/>
      <c r="O123" s="46"/>
      <c r="P123" s="36"/>
      <c r="Q123" s="45"/>
      <c r="R123" s="3"/>
      <c r="S123" s="2"/>
      <c r="T123" s="2"/>
    </row>
    <row r="124" spans="3:20">
      <c r="C124" s="8">
        <f t="shared" si="9"/>
        <v>0</v>
      </c>
      <c r="D124" s="8">
        <f t="shared" si="10"/>
        <v>0</v>
      </c>
      <c r="E124" s="8">
        <f t="shared" si="11"/>
        <v>0</v>
      </c>
      <c r="F124" s="8">
        <f t="shared" si="12"/>
        <v>0</v>
      </c>
      <c r="G124" s="8"/>
      <c r="H124" s="9">
        <f t="shared" si="13"/>
        <v>0</v>
      </c>
      <c r="I124" s="39"/>
      <c r="J124" s="44"/>
      <c r="K124" s="45"/>
      <c r="L124" s="45"/>
      <c r="M124" s="46"/>
      <c r="N124" s="46"/>
      <c r="O124" s="46"/>
      <c r="P124" s="36"/>
      <c r="Q124" s="45"/>
      <c r="R124" s="3"/>
      <c r="S124" s="2"/>
      <c r="T124" s="2"/>
    </row>
    <row r="125" spans="3:20">
      <c r="C125" s="8">
        <f t="shared" si="9"/>
        <v>0</v>
      </c>
      <c r="D125" s="8">
        <f t="shared" si="10"/>
        <v>0</v>
      </c>
      <c r="E125" s="8">
        <f t="shared" si="11"/>
        <v>0</v>
      </c>
      <c r="F125" s="8">
        <f t="shared" si="12"/>
        <v>0</v>
      </c>
      <c r="G125" s="8"/>
      <c r="H125" s="9">
        <f t="shared" si="13"/>
        <v>0</v>
      </c>
      <c r="I125" s="39"/>
      <c r="J125" s="44"/>
      <c r="K125" s="45"/>
      <c r="L125" s="45"/>
      <c r="M125" s="46"/>
      <c r="N125" s="46"/>
      <c r="O125" s="46"/>
      <c r="P125" s="36"/>
      <c r="Q125" s="45"/>
      <c r="R125" s="3"/>
      <c r="S125" s="2"/>
      <c r="T125" s="2"/>
    </row>
    <row r="126" spans="3:20">
      <c r="C126" s="8">
        <f t="shared" si="9"/>
        <v>0</v>
      </c>
      <c r="D126" s="8">
        <f t="shared" si="10"/>
        <v>0</v>
      </c>
      <c r="E126" s="8">
        <f t="shared" si="11"/>
        <v>0</v>
      </c>
      <c r="F126" s="8">
        <f t="shared" si="12"/>
        <v>0</v>
      </c>
      <c r="G126" s="8"/>
      <c r="H126" s="9">
        <f t="shared" si="13"/>
        <v>0</v>
      </c>
      <c r="I126" s="39"/>
      <c r="J126" s="44"/>
      <c r="K126" s="45"/>
      <c r="L126" s="45"/>
      <c r="M126" s="46"/>
      <c r="N126" s="46"/>
      <c r="O126" s="46"/>
      <c r="P126" s="36"/>
      <c r="Q126" s="45"/>
      <c r="R126" s="3"/>
      <c r="S126" s="2"/>
      <c r="T126" s="2"/>
    </row>
    <row r="127" spans="3:20">
      <c r="C127" s="8">
        <f t="shared" si="9"/>
        <v>0</v>
      </c>
      <c r="D127" s="8">
        <f t="shared" si="10"/>
        <v>0</v>
      </c>
      <c r="E127" s="8">
        <f t="shared" si="11"/>
        <v>0</v>
      </c>
      <c r="F127" s="8">
        <f t="shared" si="12"/>
        <v>0</v>
      </c>
      <c r="G127" s="8"/>
      <c r="H127" s="9">
        <f t="shared" si="13"/>
        <v>0</v>
      </c>
      <c r="I127" s="39"/>
      <c r="J127" s="44"/>
      <c r="K127" s="45"/>
      <c r="L127" s="45"/>
      <c r="M127" s="46"/>
      <c r="N127" s="46"/>
      <c r="O127" s="46"/>
      <c r="P127" s="36"/>
      <c r="Q127" s="45"/>
      <c r="R127" s="3"/>
      <c r="S127" s="2"/>
      <c r="T127" s="2"/>
    </row>
    <row r="128" spans="3:20">
      <c r="C128" s="8">
        <f t="shared" si="9"/>
        <v>0</v>
      </c>
      <c r="D128" s="8">
        <f t="shared" si="10"/>
        <v>0</v>
      </c>
      <c r="E128" s="8">
        <f t="shared" si="11"/>
        <v>0</v>
      </c>
      <c r="F128" s="8">
        <f t="shared" si="12"/>
        <v>0</v>
      </c>
      <c r="G128" s="8"/>
      <c r="H128" s="9">
        <f t="shared" si="13"/>
        <v>0</v>
      </c>
      <c r="I128" s="39"/>
      <c r="J128" s="44"/>
      <c r="K128" s="45"/>
      <c r="L128" s="45"/>
      <c r="M128" s="46"/>
      <c r="N128" s="46"/>
      <c r="O128" s="46"/>
      <c r="P128" s="36"/>
      <c r="Q128" s="45"/>
      <c r="R128" s="3"/>
      <c r="S128" s="2"/>
      <c r="T128" s="2"/>
    </row>
    <row r="129" spans="3:20">
      <c r="C129" s="8">
        <f t="shared" si="9"/>
        <v>0</v>
      </c>
      <c r="D129" s="8">
        <f t="shared" si="10"/>
        <v>0</v>
      </c>
      <c r="E129" s="8">
        <f t="shared" si="11"/>
        <v>0</v>
      </c>
      <c r="F129" s="8">
        <f t="shared" si="12"/>
        <v>0</v>
      </c>
      <c r="G129" s="8"/>
      <c r="H129" s="9">
        <f t="shared" si="13"/>
        <v>0</v>
      </c>
      <c r="I129" s="39"/>
      <c r="J129" s="44"/>
      <c r="K129" s="45"/>
      <c r="L129" s="45"/>
      <c r="M129" s="46"/>
      <c r="N129" s="46"/>
      <c r="O129" s="46"/>
      <c r="P129" s="36"/>
      <c r="Q129" s="45"/>
      <c r="R129" s="3"/>
      <c r="S129" s="2"/>
      <c r="T129" s="2"/>
    </row>
    <row r="130" spans="3:20">
      <c r="C130" s="8">
        <f t="shared" si="9"/>
        <v>0</v>
      </c>
      <c r="D130" s="8">
        <f t="shared" si="10"/>
        <v>0</v>
      </c>
      <c r="E130" s="8">
        <f t="shared" si="11"/>
        <v>0</v>
      </c>
      <c r="F130" s="8">
        <f t="shared" si="12"/>
        <v>0</v>
      </c>
      <c r="G130" s="8"/>
      <c r="H130" s="9">
        <f t="shared" si="13"/>
        <v>0</v>
      </c>
      <c r="I130" s="39"/>
      <c r="J130" s="44"/>
      <c r="K130" s="45"/>
      <c r="L130" s="45"/>
      <c r="M130" s="46"/>
      <c r="N130" s="46"/>
      <c r="O130" s="46"/>
      <c r="P130" s="36"/>
      <c r="Q130" s="45"/>
      <c r="R130" s="3"/>
      <c r="S130" s="2"/>
      <c r="T130" s="2"/>
    </row>
    <row r="131" spans="3:20">
      <c r="C131" s="8">
        <f t="shared" si="9"/>
        <v>0</v>
      </c>
      <c r="D131" s="8">
        <f t="shared" si="10"/>
        <v>0</v>
      </c>
      <c r="E131" s="8">
        <f t="shared" si="11"/>
        <v>0</v>
      </c>
      <c r="F131" s="8">
        <f t="shared" si="12"/>
        <v>0</v>
      </c>
      <c r="G131" s="8"/>
      <c r="H131" s="9">
        <f t="shared" si="13"/>
        <v>0</v>
      </c>
      <c r="I131" s="39"/>
      <c r="J131" s="44"/>
      <c r="K131" s="45"/>
      <c r="L131" s="45"/>
      <c r="M131" s="46"/>
      <c r="N131" s="46"/>
      <c r="O131" s="46"/>
      <c r="P131" s="36"/>
      <c r="Q131" s="45"/>
      <c r="R131" s="3"/>
      <c r="S131" s="2"/>
      <c r="T131" s="2"/>
    </row>
    <row r="132" spans="3:20">
      <c r="C132" s="8">
        <f t="shared" si="9"/>
        <v>0</v>
      </c>
      <c r="D132" s="8">
        <f t="shared" si="10"/>
        <v>0</v>
      </c>
      <c r="E132" s="8">
        <f t="shared" si="11"/>
        <v>0</v>
      </c>
      <c r="F132" s="8">
        <f t="shared" si="12"/>
        <v>0</v>
      </c>
      <c r="G132" s="8"/>
      <c r="H132" s="9">
        <f t="shared" si="13"/>
        <v>0</v>
      </c>
      <c r="I132" s="39"/>
      <c r="J132" s="44"/>
      <c r="K132" s="45"/>
      <c r="L132" s="45"/>
      <c r="M132" s="46"/>
      <c r="N132" s="46"/>
      <c r="O132" s="46"/>
      <c r="P132" s="36"/>
      <c r="Q132" s="45"/>
      <c r="R132" s="3"/>
      <c r="S132" s="2"/>
      <c r="T132" s="2"/>
    </row>
    <row r="133" spans="3:20">
      <c r="C133" s="8">
        <f t="shared" si="9"/>
        <v>0</v>
      </c>
      <c r="D133" s="8">
        <f t="shared" si="10"/>
        <v>0</v>
      </c>
      <c r="E133" s="8">
        <f t="shared" si="11"/>
        <v>0</v>
      </c>
      <c r="F133" s="8">
        <f t="shared" si="12"/>
        <v>0</v>
      </c>
      <c r="G133" s="8"/>
      <c r="H133" s="9">
        <f t="shared" si="13"/>
        <v>0</v>
      </c>
      <c r="I133" s="39"/>
      <c r="J133" s="44"/>
      <c r="K133" s="45"/>
      <c r="L133" s="45"/>
      <c r="M133" s="46"/>
      <c r="N133" s="46"/>
      <c r="O133" s="46"/>
      <c r="P133" s="36"/>
      <c r="Q133" s="45"/>
      <c r="R133" s="3"/>
      <c r="S133" s="2"/>
      <c r="T133" s="2"/>
    </row>
    <row r="134" spans="3:20">
      <c r="C134" s="8">
        <f t="shared" si="9"/>
        <v>0</v>
      </c>
      <c r="D134" s="8">
        <f t="shared" si="10"/>
        <v>0</v>
      </c>
      <c r="E134" s="8">
        <f t="shared" si="11"/>
        <v>0</v>
      </c>
      <c r="F134" s="8">
        <f t="shared" si="12"/>
        <v>0</v>
      </c>
      <c r="G134" s="8"/>
      <c r="H134" s="9">
        <f t="shared" si="13"/>
        <v>0</v>
      </c>
      <c r="I134" s="39"/>
      <c r="J134" s="44"/>
      <c r="K134" s="45"/>
      <c r="L134" s="45"/>
      <c r="M134" s="46"/>
      <c r="N134" s="46"/>
      <c r="O134" s="46"/>
      <c r="P134" s="36"/>
      <c r="Q134" s="45"/>
      <c r="R134" s="3"/>
      <c r="S134" s="2"/>
      <c r="T134" s="2"/>
    </row>
    <row r="135" spans="3:20">
      <c r="C135" s="8">
        <f t="shared" ref="C135:C198" si="15">IF(AND(I135&lt;&gt;"",ISBLANK(J135)),1,0)</f>
        <v>0</v>
      </c>
      <c r="D135" s="8">
        <f t="shared" ref="D135:D198" si="16">IF(AND(I135&lt;&gt;"",ISBLANK(K135)),1,0)</f>
        <v>0</v>
      </c>
      <c r="E135" s="8">
        <f t="shared" ref="E135:E198" si="17">IF(AND(I135&lt;&gt;"",ISBLANK(L135)),1,0)</f>
        <v>0</v>
      </c>
      <c r="F135" s="8">
        <f t="shared" ref="F135:F198" si="18">IF(AND(I135&lt;&gt;"",P135&lt;=0),1,0)</f>
        <v>0</v>
      </c>
      <c r="G135" s="8"/>
      <c r="H135" s="9">
        <f t="shared" ref="H135:H198" si="19">SUM(C135:G135)</f>
        <v>0</v>
      </c>
      <c r="I135" s="39"/>
      <c r="J135" s="44"/>
      <c r="K135" s="45"/>
      <c r="L135" s="45"/>
      <c r="M135" s="46"/>
      <c r="N135" s="46"/>
      <c r="O135" s="46"/>
      <c r="P135" s="36"/>
      <c r="Q135" s="45"/>
      <c r="R135" s="3"/>
      <c r="S135" s="2"/>
      <c r="T135" s="2"/>
    </row>
    <row r="136" spans="3:20">
      <c r="C136" s="8">
        <f t="shared" si="15"/>
        <v>0</v>
      </c>
      <c r="D136" s="8">
        <f t="shared" si="16"/>
        <v>0</v>
      </c>
      <c r="E136" s="8">
        <f t="shared" si="17"/>
        <v>0</v>
      </c>
      <c r="F136" s="8">
        <f t="shared" si="18"/>
        <v>0</v>
      </c>
      <c r="G136" s="8"/>
      <c r="H136" s="9">
        <f t="shared" si="19"/>
        <v>0</v>
      </c>
      <c r="I136" s="39"/>
      <c r="J136" s="44"/>
      <c r="K136" s="45"/>
      <c r="L136" s="45"/>
      <c r="M136" s="46"/>
      <c r="N136" s="46"/>
      <c r="O136" s="46"/>
      <c r="P136" s="36"/>
      <c r="Q136" s="45"/>
      <c r="R136" s="3"/>
      <c r="S136" s="2"/>
      <c r="T136" s="2"/>
    </row>
    <row r="137" spans="3:20">
      <c r="C137" s="8">
        <f t="shared" si="15"/>
        <v>0</v>
      </c>
      <c r="D137" s="8">
        <f t="shared" si="16"/>
        <v>0</v>
      </c>
      <c r="E137" s="8">
        <f t="shared" si="17"/>
        <v>0</v>
      </c>
      <c r="F137" s="8">
        <f t="shared" si="18"/>
        <v>0</v>
      </c>
      <c r="G137" s="8"/>
      <c r="H137" s="9">
        <f t="shared" si="19"/>
        <v>0</v>
      </c>
      <c r="I137" s="39"/>
      <c r="J137" s="44"/>
      <c r="K137" s="45"/>
      <c r="L137" s="45"/>
      <c r="M137" s="46"/>
      <c r="N137" s="46"/>
      <c r="O137" s="46"/>
      <c r="P137" s="36"/>
      <c r="Q137" s="45"/>
      <c r="R137" s="3"/>
      <c r="S137" s="2"/>
      <c r="T137" s="2"/>
    </row>
    <row r="138" spans="3:20">
      <c r="C138" s="8">
        <f t="shared" si="15"/>
        <v>0</v>
      </c>
      <c r="D138" s="8">
        <f t="shared" si="16"/>
        <v>0</v>
      </c>
      <c r="E138" s="8">
        <f t="shared" si="17"/>
        <v>0</v>
      </c>
      <c r="F138" s="8">
        <f t="shared" si="18"/>
        <v>0</v>
      </c>
      <c r="G138" s="8"/>
      <c r="H138" s="9">
        <f t="shared" si="19"/>
        <v>0</v>
      </c>
      <c r="I138" s="39"/>
      <c r="J138" s="44"/>
      <c r="K138" s="45"/>
      <c r="L138" s="45"/>
      <c r="M138" s="46"/>
      <c r="N138" s="46"/>
      <c r="O138" s="46"/>
      <c r="P138" s="36"/>
      <c r="Q138" s="45"/>
      <c r="R138" s="3"/>
      <c r="S138" s="2"/>
      <c r="T138" s="2"/>
    </row>
    <row r="139" spans="3:20">
      <c r="C139" s="8">
        <f t="shared" si="15"/>
        <v>0</v>
      </c>
      <c r="D139" s="8">
        <f t="shared" si="16"/>
        <v>0</v>
      </c>
      <c r="E139" s="8">
        <f t="shared" si="17"/>
        <v>0</v>
      </c>
      <c r="F139" s="8">
        <f t="shared" si="18"/>
        <v>0</v>
      </c>
      <c r="G139" s="8"/>
      <c r="H139" s="9">
        <f t="shared" si="19"/>
        <v>0</v>
      </c>
      <c r="I139" s="39"/>
      <c r="J139" s="44"/>
      <c r="K139" s="45"/>
      <c r="L139" s="45"/>
      <c r="M139" s="46"/>
      <c r="N139" s="46"/>
      <c r="O139" s="46"/>
      <c r="P139" s="36"/>
      <c r="Q139" s="45"/>
      <c r="R139" s="3"/>
      <c r="S139" s="2"/>
      <c r="T139" s="2"/>
    </row>
    <row r="140" spans="3:20">
      <c r="C140" s="8">
        <f t="shared" si="15"/>
        <v>0</v>
      </c>
      <c r="D140" s="8">
        <f t="shared" si="16"/>
        <v>0</v>
      </c>
      <c r="E140" s="8">
        <f t="shared" si="17"/>
        <v>0</v>
      </c>
      <c r="F140" s="8">
        <f t="shared" si="18"/>
        <v>0</v>
      </c>
      <c r="G140" s="8"/>
      <c r="H140" s="9">
        <f t="shared" si="19"/>
        <v>0</v>
      </c>
      <c r="I140" s="39"/>
      <c r="J140" s="44"/>
      <c r="K140" s="45"/>
      <c r="L140" s="45"/>
      <c r="M140" s="46"/>
      <c r="N140" s="46"/>
      <c r="O140" s="46"/>
      <c r="P140" s="36"/>
      <c r="Q140" s="45"/>
      <c r="R140" s="3"/>
      <c r="S140" s="2"/>
      <c r="T140" s="2"/>
    </row>
    <row r="141" spans="3:20">
      <c r="C141" s="8">
        <f t="shared" si="15"/>
        <v>0</v>
      </c>
      <c r="D141" s="8">
        <f t="shared" si="16"/>
        <v>0</v>
      </c>
      <c r="E141" s="8">
        <f t="shared" si="17"/>
        <v>0</v>
      </c>
      <c r="F141" s="8">
        <f t="shared" si="18"/>
        <v>0</v>
      </c>
      <c r="G141" s="8"/>
      <c r="H141" s="9">
        <f t="shared" si="19"/>
        <v>0</v>
      </c>
      <c r="I141" s="39"/>
      <c r="J141" s="44"/>
      <c r="K141" s="45"/>
      <c r="L141" s="45"/>
      <c r="M141" s="46"/>
      <c r="N141" s="46"/>
      <c r="O141" s="46"/>
      <c r="P141" s="36"/>
      <c r="Q141" s="45"/>
      <c r="R141" s="3"/>
      <c r="S141" s="2"/>
      <c r="T141" s="2"/>
    </row>
    <row r="142" spans="3:20">
      <c r="C142" s="8">
        <f t="shared" si="15"/>
        <v>0</v>
      </c>
      <c r="D142" s="8">
        <f t="shared" si="16"/>
        <v>0</v>
      </c>
      <c r="E142" s="8">
        <f t="shared" si="17"/>
        <v>0</v>
      </c>
      <c r="F142" s="8">
        <f t="shared" si="18"/>
        <v>0</v>
      </c>
      <c r="G142" s="8"/>
      <c r="H142" s="9">
        <f t="shared" si="19"/>
        <v>0</v>
      </c>
      <c r="I142" s="39"/>
      <c r="J142" s="44"/>
      <c r="K142" s="45"/>
      <c r="L142" s="45"/>
      <c r="M142" s="46"/>
      <c r="N142" s="46"/>
      <c r="O142" s="46"/>
      <c r="P142" s="36"/>
      <c r="Q142" s="45"/>
      <c r="R142" s="3"/>
      <c r="S142" s="2"/>
      <c r="T142" s="2"/>
    </row>
    <row r="143" spans="3:20">
      <c r="C143" s="8">
        <f t="shared" si="15"/>
        <v>0</v>
      </c>
      <c r="D143" s="8">
        <f t="shared" si="16"/>
        <v>0</v>
      </c>
      <c r="E143" s="8">
        <f t="shared" si="17"/>
        <v>0</v>
      </c>
      <c r="F143" s="8">
        <f t="shared" si="18"/>
        <v>0</v>
      </c>
      <c r="G143" s="8"/>
      <c r="H143" s="9">
        <f t="shared" si="19"/>
        <v>0</v>
      </c>
      <c r="I143" s="39"/>
      <c r="J143" s="44"/>
      <c r="K143" s="45"/>
      <c r="L143" s="45"/>
      <c r="M143" s="46"/>
      <c r="N143" s="46"/>
      <c r="O143" s="46"/>
      <c r="P143" s="36"/>
      <c r="Q143" s="45"/>
      <c r="R143" s="3"/>
      <c r="S143" s="2"/>
      <c r="T143" s="2"/>
    </row>
    <row r="144" spans="3:20">
      <c r="C144" s="8">
        <f t="shared" si="15"/>
        <v>0</v>
      </c>
      <c r="D144" s="8">
        <f t="shared" si="16"/>
        <v>0</v>
      </c>
      <c r="E144" s="8">
        <f t="shared" si="17"/>
        <v>0</v>
      </c>
      <c r="F144" s="8">
        <f t="shared" si="18"/>
        <v>0</v>
      </c>
      <c r="G144" s="8"/>
      <c r="H144" s="9">
        <f t="shared" si="19"/>
        <v>0</v>
      </c>
      <c r="I144" s="39"/>
      <c r="J144" s="44"/>
      <c r="K144" s="45"/>
      <c r="L144" s="45"/>
      <c r="M144" s="46"/>
      <c r="N144" s="46"/>
      <c r="O144" s="46"/>
      <c r="P144" s="36"/>
      <c r="Q144" s="45"/>
      <c r="R144" s="3"/>
      <c r="S144" s="2"/>
      <c r="T144" s="2"/>
    </row>
    <row r="145" spans="3:20">
      <c r="C145" s="8">
        <f t="shared" si="15"/>
        <v>0</v>
      </c>
      <c r="D145" s="8">
        <f t="shared" si="16"/>
        <v>0</v>
      </c>
      <c r="E145" s="8">
        <f t="shared" si="17"/>
        <v>0</v>
      </c>
      <c r="F145" s="8">
        <f t="shared" si="18"/>
        <v>0</v>
      </c>
      <c r="G145" s="8"/>
      <c r="H145" s="9">
        <f t="shared" si="19"/>
        <v>0</v>
      </c>
      <c r="I145" s="39"/>
      <c r="J145" s="44"/>
      <c r="K145" s="45"/>
      <c r="L145" s="45"/>
      <c r="M145" s="46"/>
      <c r="N145" s="46"/>
      <c r="O145" s="46"/>
      <c r="P145" s="36"/>
      <c r="Q145" s="45"/>
      <c r="R145" s="3"/>
      <c r="S145" s="2"/>
      <c r="T145" s="2"/>
    </row>
    <row r="146" spans="3:20">
      <c r="C146" s="8">
        <f t="shared" si="15"/>
        <v>0</v>
      </c>
      <c r="D146" s="8">
        <f t="shared" si="16"/>
        <v>0</v>
      </c>
      <c r="E146" s="8">
        <f t="shared" si="17"/>
        <v>0</v>
      </c>
      <c r="F146" s="8">
        <f t="shared" si="18"/>
        <v>0</v>
      </c>
      <c r="G146" s="8"/>
      <c r="H146" s="9">
        <f t="shared" si="19"/>
        <v>0</v>
      </c>
      <c r="I146" s="39"/>
      <c r="J146" s="44"/>
      <c r="K146" s="45"/>
      <c r="L146" s="45"/>
      <c r="M146" s="46"/>
      <c r="N146" s="46"/>
      <c r="O146" s="46"/>
      <c r="P146" s="36"/>
      <c r="Q146" s="45"/>
      <c r="R146" s="3"/>
      <c r="S146" s="2"/>
      <c r="T146" s="2"/>
    </row>
    <row r="147" spans="3:20">
      <c r="C147" s="8">
        <f t="shared" si="15"/>
        <v>0</v>
      </c>
      <c r="D147" s="8">
        <f t="shared" si="16"/>
        <v>0</v>
      </c>
      <c r="E147" s="8">
        <f t="shared" si="17"/>
        <v>0</v>
      </c>
      <c r="F147" s="8">
        <f t="shared" si="18"/>
        <v>0</v>
      </c>
      <c r="G147" s="8"/>
      <c r="H147" s="9">
        <f t="shared" si="19"/>
        <v>0</v>
      </c>
      <c r="I147" s="39"/>
      <c r="J147" s="44"/>
      <c r="K147" s="45"/>
      <c r="L147" s="45"/>
      <c r="M147" s="46"/>
      <c r="N147" s="46"/>
      <c r="O147" s="46"/>
      <c r="P147" s="36"/>
      <c r="Q147" s="45"/>
      <c r="R147" s="3"/>
      <c r="S147" s="2"/>
      <c r="T147" s="2"/>
    </row>
    <row r="148" spans="3:20">
      <c r="C148" s="8">
        <f t="shared" si="15"/>
        <v>0</v>
      </c>
      <c r="D148" s="8">
        <f t="shared" si="16"/>
        <v>0</v>
      </c>
      <c r="E148" s="8">
        <f t="shared" si="17"/>
        <v>0</v>
      </c>
      <c r="F148" s="8">
        <f t="shared" si="18"/>
        <v>0</v>
      </c>
      <c r="G148" s="8"/>
      <c r="H148" s="9">
        <f t="shared" si="19"/>
        <v>0</v>
      </c>
      <c r="I148" s="39"/>
      <c r="J148" s="44"/>
      <c r="K148" s="45"/>
      <c r="L148" s="45"/>
      <c r="M148" s="46"/>
      <c r="N148" s="46"/>
      <c r="O148" s="46"/>
      <c r="P148" s="36"/>
      <c r="Q148" s="45"/>
      <c r="R148" s="3"/>
      <c r="S148" s="2"/>
      <c r="T148" s="2"/>
    </row>
    <row r="149" spans="3:20">
      <c r="C149" s="8">
        <f t="shared" si="15"/>
        <v>0</v>
      </c>
      <c r="D149" s="8">
        <f t="shared" si="16"/>
        <v>0</v>
      </c>
      <c r="E149" s="8">
        <f t="shared" si="17"/>
        <v>0</v>
      </c>
      <c r="F149" s="8">
        <f t="shared" si="18"/>
        <v>0</v>
      </c>
      <c r="G149" s="8"/>
      <c r="H149" s="9">
        <f t="shared" si="19"/>
        <v>0</v>
      </c>
      <c r="I149" s="39"/>
      <c r="J149" s="44"/>
      <c r="K149" s="45"/>
      <c r="L149" s="45"/>
      <c r="M149" s="46"/>
      <c r="N149" s="46"/>
      <c r="O149" s="46"/>
      <c r="P149" s="36"/>
      <c r="Q149" s="45"/>
      <c r="R149" s="3"/>
      <c r="S149" s="2"/>
      <c r="T149" s="2"/>
    </row>
    <row r="150" spans="3:20">
      <c r="C150" s="8">
        <f t="shared" si="15"/>
        <v>0</v>
      </c>
      <c r="D150" s="8">
        <f t="shared" si="16"/>
        <v>0</v>
      </c>
      <c r="E150" s="8">
        <f t="shared" si="17"/>
        <v>0</v>
      </c>
      <c r="F150" s="8">
        <f t="shared" si="18"/>
        <v>0</v>
      </c>
      <c r="G150" s="8"/>
      <c r="H150" s="9">
        <f t="shared" si="19"/>
        <v>0</v>
      </c>
      <c r="I150" s="39"/>
      <c r="J150" s="44"/>
      <c r="K150" s="45"/>
      <c r="L150" s="45"/>
      <c r="M150" s="46"/>
      <c r="N150" s="46"/>
      <c r="O150" s="46"/>
      <c r="P150" s="36"/>
      <c r="Q150" s="45"/>
      <c r="R150" s="3"/>
      <c r="S150" s="2"/>
      <c r="T150" s="2"/>
    </row>
    <row r="151" spans="3:20">
      <c r="C151" s="8">
        <f t="shared" si="15"/>
        <v>0</v>
      </c>
      <c r="D151" s="8">
        <f t="shared" si="16"/>
        <v>0</v>
      </c>
      <c r="E151" s="8">
        <f t="shared" si="17"/>
        <v>0</v>
      </c>
      <c r="F151" s="8">
        <f t="shared" si="18"/>
        <v>0</v>
      </c>
      <c r="G151" s="8"/>
      <c r="H151" s="9">
        <f t="shared" si="19"/>
        <v>0</v>
      </c>
      <c r="I151" s="39"/>
      <c r="J151" s="44"/>
      <c r="K151" s="45"/>
      <c r="L151" s="45"/>
      <c r="M151" s="46"/>
      <c r="N151" s="46"/>
      <c r="O151" s="46"/>
      <c r="P151" s="36"/>
      <c r="Q151" s="45"/>
      <c r="R151" s="3"/>
      <c r="S151" s="2"/>
      <c r="T151" s="2"/>
    </row>
    <row r="152" spans="3:20">
      <c r="C152" s="8">
        <f t="shared" si="15"/>
        <v>0</v>
      </c>
      <c r="D152" s="8">
        <f t="shared" si="16"/>
        <v>0</v>
      </c>
      <c r="E152" s="8">
        <f t="shared" si="17"/>
        <v>0</v>
      </c>
      <c r="F152" s="8">
        <f t="shared" si="18"/>
        <v>0</v>
      </c>
      <c r="G152" s="8"/>
      <c r="H152" s="9">
        <f t="shared" si="19"/>
        <v>0</v>
      </c>
      <c r="I152" s="39"/>
      <c r="J152" s="44"/>
      <c r="K152" s="45"/>
      <c r="L152" s="45"/>
      <c r="M152" s="46"/>
      <c r="N152" s="46"/>
      <c r="O152" s="46"/>
      <c r="P152" s="36"/>
      <c r="Q152" s="45"/>
      <c r="R152" s="3"/>
      <c r="S152" s="2"/>
      <c r="T152" s="2"/>
    </row>
    <row r="153" spans="3:20">
      <c r="C153" s="8">
        <f t="shared" si="15"/>
        <v>0</v>
      </c>
      <c r="D153" s="8">
        <f t="shared" si="16"/>
        <v>0</v>
      </c>
      <c r="E153" s="8">
        <f t="shared" si="17"/>
        <v>0</v>
      </c>
      <c r="F153" s="8">
        <f t="shared" si="18"/>
        <v>0</v>
      </c>
      <c r="G153" s="8"/>
      <c r="H153" s="9">
        <f t="shared" si="19"/>
        <v>0</v>
      </c>
      <c r="I153" s="39"/>
      <c r="J153" s="44"/>
      <c r="K153" s="45"/>
      <c r="L153" s="45"/>
      <c r="M153" s="46"/>
      <c r="N153" s="46"/>
      <c r="O153" s="46"/>
      <c r="P153" s="36"/>
      <c r="Q153" s="45"/>
      <c r="R153" s="3"/>
      <c r="S153" s="2"/>
      <c r="T153" s="2"/>
    </row>
    <row r="154" spans="3:20">
      <c r="C154" s="8">
        <f t="shared" si="15"/>
        <v>0</v>
      </c>
      <c r="D154" s="8">
        <f t="shared" si="16"/>
        <v>0</v>
      </c>
      <c r="E154" s="8">
        <f t="shared" si="17"/>
        <v>0</v>
      </c>
      <c r="F154" s="8">
        <f t="shared" si="18"/>
        <v>0</v>
      </c>
      <c r="G154" s="8"/>
      <c r="H154" s="9">
        <f t="shared" si="19"/>
        <v>0</v>
      </c>
      <c r="I154" s="39"/>
      <c r="J154" s="44"/>
      <c r="K154" s="45"/>
      <c r="L154" s="45"/>
      <c r="M154" s="46"/>
      <c r="N154" s="46"/>
      <c r="O154" s="46"/>
      <c r="P154" s="36"/>
      <c r="Q154" s="45"/>
      <c r="R154" s="3"/>
      <c r="S154" s="2"/>
      <c r="T154" s="2"/>
    </row>
    <row r="155" spans="3:20">
      <c r="C155" s="8">
        <f t="shared" si="15"/>
        <v>0</v>
      </c>
      <c r="D155" s="8">
        <f t="shared" si="16"/>
        <v>0</v>
      </c>
      <c r="E155" s="8">
        <f t="shared" si="17"/>
        <v>0</v>
      </c>
      <c r="F155" s="8">
        <f t="shared" si="18"/>
        <v>0</v>
      </c>
      <c r="G155" s="8"/>
      <c r="H155" s="9">
        <f t="shared" si="19"/>
        <v>0</v>
      </c>
      <c r="I155" s="39"/>
      <c r="J155" s="44"/>
      <c r="K155" s="45"/>
      <c r="L155" s="45"/>
      <c r="M155" s="46"/>
      <c r="N155" s="46"/>
      <c r="O155" s="46"/>
      <c r="P155" s="36"/>
      <c r="Q155" s="45"/>
      <c r="R155" s="3"/>
      <c r="S155" s="2"/>
      <c r="T155" s="2"/>
    </row>
    <row r="156" spans="3:20">
      <c r="C156" s="8">
        <f t="shared" si="15"/>
        <v>0</v>
      </c>
      <c r="D156" s="8">
        <f t="shared" si="16"/>
        <v>0</v>
      </c>
      <c r="E156" s="8">
        <f t="shared" si="17"/>
        <v>0</v>
      </c>
      <c r="F156" s="8">
        <f t="shared" si="18"/>
        <v>0</v>
      </c>
      <c r="G156" s="8"/>
      <c r="H156" s="9">
        <f t="shared" si="19"/>
        <v>0</v>
      </c>
      <c r="I156" s="39"/>
      <c r="J156" s="44"/>
      <c r="K156" s="45"/>
      <c r="L156" s="45"/>
      <c r="M156" s="46"/>
      <c r="N156" s="46"/>
      <c r="O156" s="46"/>
      <c r="P156" s="36"/>
      <c r="Q156" s="45"/>
      <c r="R156" s="3"/>
      <c r="S156" s="2"/>
      <c r="T156" s="2"/>
    </row>
    <row r="157" spans="3:20">
      <c r="C157" s="8">
        <f t="shared" si="15"/>
        <v>0</v>
      </c>
      <c r="D157" s="8">
        <f t="shared" si="16"/>
        <v>0</v>
      </c>
      <c r="E157" s="8">
        <f t="shared" si="17"/>
        <v>0</v>
      </c>
      <c r="F157" s="8">
        <f t="shared" si="18"/>
        <v>0</v>
      </c>
      <c r="G157" s="8"/>
      <c r="H157" s="9">
        <f t="shared" si="19"/>
        <v>0</v>
      </c>
      <c r="I157" s="39"/>
      <c r="J157" s="44"/>
      <c r="K157" s="45"/>
      <c r="L157" s="45"/>
      <c r="M157" s="46"/>
      <c r="N157" s="46"/>
      <c r="O157" s="46"/>
      <c r="P157" s="36"/>
      <c r="Q157" s="45"/>
      <c r="R157" s="3"/>
      <c r="S157" s="2"/>
      <c r="T157" s="2"/>
    </row>
    <row r="158" spans="3:20">
      <c r="C158" s="8">
        <f t="shared" si="15"/>
        <v>0</v>
      </c>
      <c r="D158" s="8">
        <f t="shared" si="16"/>
        <v>0</v>
      </c>
      <c r="E158" s="8">
        <f t="shared" si="17"/>
        <v>0</v>
      </c>
      <c r="F158" s="8">
        <f t="shared" si="18"/>
        <v>0</v>
      </c>
      <c r="G158" s="8"/>
      <c r="H158" s="9">
        <f t="shared" si="19"/>
        <v>0</v>
      </c>
      <c r="I158" s="39"/>
      <c r="J158" s="44"/>
      <c r="K158" s="45"/>
      <c r="L158" s="45"/>
      <c r="M158" s="46"/>
      <c r="N158" s="46"/>
      <c r="O158" s="46"/>
      <c r="P158" s="36"/>
      <c r="Q158" s="45"/>
      <c r="R158" s="3"/>
      <c r="S158" s="2"/>
      <c r="T158" s="2"/>
    </row>
    <row r="159" spans="3:20">
      <c r="C159" s="8">
        <f t="shared" si="15"/>
        <v>0</v>
      </c>
      <c r="D159" s="8">
        <f t="shared" si="16"/>
        <v>0</v>
      </c>
      <c r="E159" s="8">
        <f t="shared" si="17"/>
        <v>0</v>
      </c>
      <c r="F159" s="8">
        <f t="shared" si="18"/>
        <v>0</v>
      </c>
      <c r="G159" s="8"/>
      <c r="H159" s="9">
        <f t="shared" si="19"/>
        <v>0</v>
      </c>
      <c r="I159" s="39"/>
      <c r="J159" s="44"/>
      <c r="K159" s="45"/>
      <c r="L159" s="45"/>
      <c r="M159" s="46"/>
      <c r="N159" s="46"/>
      <c r="O159" s="46"/>
      <c r="P159" s="36"/>
      <c r="Q159" s="45"/>
      <c r="R159" s="3"/>
      <c r="S159" s="2"/>
      <c r="T159" s="2"/>
    </row>
    <row r="160" spans="3:20">
      <c r="C160" s="8">
        <f t="shared" si="15"/>
        <v>0</v>
      </c>
      <c r="D160" s="8">
        <f t="shared" si="16"/>
        <v>0</v>
      </c>
      <c r="E160" s="8">
        <f t="shared" si="17"/>
        <v>0</v>
      </c>
      <c r="F160" s="8">
        <f t="shared" si="18"/>
        <v>0</v>
      </c>
      <c r="G160" s="8"/>
      <c r="H160" s="9">
        <f t="shared" si="19"/>
        <v>0</v>
      </c>
      <c r="I160" s="39"/>
      <c r="J160" s="44"/>
      <c r="K160" s="45"/>
      <c r="L160" s="45"/>
      <c r="M160" s="46"/>
      <c r="N160" s="46"/>
      <c r="O160" s="46"/>
      <c r="P160" s="36"/>
      <c r="Q160" s="45"/>
      <c r="R160" s="3"/>
      <c r="S160" s="2"/>
      <c r="T160" s="2"/>
    </row>
    <row r="161" spans="3:20">
      <c r="C161" s="8">
        <f t="shared" si="15"/>
        <v>0</v>
      </c>
      <c r="D161" s="8">
        <f t="shared" si="16"/>
        <v>0</v>
      </c>
      <c r="E161" s="8">
        <f t="shared" si="17"/>
        <v>0</v>
      </c>
      <c r="F161" s="8">
        <f t="shared" si="18"/>
        <v>0</v>
      </c>
      <c r="G161" s="8"/>
      <c r="H161" s="9">
        <f t="shared" si="19"/>
        <v>0</v>
      </c>
      <c r="I161" s="39"/>
      <c r="J161" s="44"/>
      <c r="K161" s="45"/>
      <c r="L161" s="45"/>
      <c r="M161" s="46"/>
      <c r="N161" s="46"/>
      <c r="O161" s="46"/>
      <c r="P161" s="36"/>
      <c r="Q161" s="45"/>
      <c r="R161" s="3"/>
      <c r="S161" s="2"/>
      <c r="T161" s="2"/>
    </row>
    <row r="162" spans="3:20">
      <c r="C162" s="8">
        <f t="shared" si="15"/>
        <v>0</v>
      </c>
      <c r="D162" s="8">
        <f t="shared" si="16"/>
        <v>0</v>
      </c>
      <c r="E162" s="8">
        <f t="shared" si="17"/>
        <v>0</v>
      </c>
      <c r="F162" s="8">
        <f t="shared" si="18"/>
        <v>0</v>
      </c>
      <c r="G162" s="8"/>
      <c r="H162" s="9">
        <f t="shared" si="19"/>
        <v>0</v>
      </c>
      <c r="I162" s="39"/>
      <c r="J162" s="44"/>
      <c r="K162" s="45"/>
      <c r="L162" s="45"/>
      <c r="M162" s="46"/>
      <c r="N162" s="46"/>
      <c r="O162" s="46"/>
      <c r="P162" s="36"/>
      <c r="Q162" s="45"/>
      <c r="R162" s="3"/>
      <c r="S162" s="2"/>
      <c r="T162" s="2"/>
    </row>
    <row r="163" spans="3:20">
      <c r="C163" s="8">
        <f t="shared" si="15"/>
        <v>0</v>
      </c>
      <c r="D163" s="8">
        <f t="shared" si="16"/>
        <v>0</v>
      </c>
      <c r="E163" s="8">
        <f t="shared" si="17"/>
        <v>0</v>
      </c>
      <c r="F163" s="8">
        <f t="shared" si="18"/>
        <v>0</v>
      </c>
      <c r="G163" s="8"/>
      <c r="H163" s="9">
        <f t="shared" si="19"/>
        <v>0</v>
      </c>
      <c r="I163" s="39"/>
      <c r="J163" s="44"/>
      <c r="K163" s="45"/>
      <c r="L163" s="45"/>
      <c r="M163" s="46"/>
      <c r="N163" s="46"/>
      <c r="O163" s="46"/>
      <c r="P163" s="36"/>
      <c r="Q163" s="45"/>
      <c r="R163" s="3"/>
      <c r="S163" s="2"/>
      <c r="T163" s="2"/>
    </row>
    <row r="164" spans="3:20">
      <c r="C164" s="8">
        <f t="shared" si="15"/>
        <v>0</v>
      </c>
      <c r="D164" s="8">
        <f t="shared" si="16"/>
        <v>0</v>
      </c>
      <c r="E164" s="8">
        <f t="shared" si="17"/>
        <v>0</v>
      </c>
      <c r="F164" s="8">
        <f t="shared" si="18"/>
        <v>0</v>
      </c>
      <c r="G164" s="8"/>
      <c r="H164" s="9">
        <f t="shared" si="19"/>
        <v>0</v>
      </c>
      <c r="I164" s="39"/>
      <c r="J164" s="44"/>
      <c r="K164" s="45"/>
      <c r="L164" s="45"/>
      <c r="M164" s="46"/>
      <c r="N164" s="46"/>
      <c r="O164" s="46"/>
      <c r="P164" s="36"/>
      <c r="Q164" s="45"/>
      <c r="R164" s="3"/>
      <c r="S164" s="2"/>
      <c r="T164" s="2"/>
    </row>
    <row r="165" spans="3:20">
      <c r="C165" s="8">
        <f t="shared" si="15"/>
        <v>0</v>
      </c>
      <c r="D165" s="8">
        <f t="shared" si="16"/>
        <v>0</v>
      </c>
      <c r="E165" s="8">
        <f t="shared" si="17"/>
        <v>0</v>
      </c>
      <c r="F165" s="8">
        <f t="shared" si="18"/>
        <v>0</v>
      </c>
      <c r="G165" s="8"/>
      <c r="H165" s="9">
        <f t="shared" si="19"/>
        <v>0</v>
      </c>
      <c r="I165" s="39"/>
      <c r="J165" s="44"/>
      <c r="K165" s="45"/>
      <c r="L165" s="45"/>
      <c r="M165" s="46"/>
      <c r="N165" s="46"/>
      <c r="O165" s="46"/>
      <c r="P165" s="36"/>
      <c r="Q165" s="45"/>
      <c r="R165" s="3"/>
      <c r="S165" s="2"/>
      <c r="T165" s="2"/>
    </row>
    <row r="166" spans="3:20">
      <c r="C166" s="8">
        <f t="shared" si="15"/>
        <v>0</v>
      </c>
      <c r="D166" s="8">
        <f t="shared" si="16"/>
        <v>0</v>
      </c>
      <c r="E166" s="8">
        <f t="shared" si="17"/>
        <v>0</v>
      </c>
      <c r="F166" s="8">
        <f t="shared" si="18"/>
        <v>0</v>
      </c>
      <c r="G166" s="8"/>
      <c r="H166" s="9">
        <f t="shared" si="19"/>
        <v>0</v>
      </c>
      <c r="I166" s="39"/>
      <c r="J166" s="44"/>
      <c r="K166" s="45"/>
      <c r="L166" s="45"/>
      <c r="M166" s="46"/>
      <c r="N166" s="46"/>
      <c r="O166" s="46"/>
      <c r="P166" s="36"/>
      <c r="Q166" s="45"/>
      <c r="R166" s="3"/>
      <c r="S166" s="2"/>
      <c r="T166" s="2"/>
    </row>
    <row r="167" spans="3:20">
      <c r="C167" s="8">
        <f t="shared" si="15"/>
        <v>0</v>
      </c>
      <c r="D167" s="8">
        <f t="shared" si="16"/>
        <v>0</v>
      </c>
      <c r="E167" s="8">
        <f t="shared" si="17"/>
        <v>0</v>
      </c>
      <c r="F167" s="8">
        <f t="shared" si="18"/>
        <v>0</v>
      </c>
      <c r="G167" s="8"/>
      <c r="H167" s="9">
        <f t="shared" si="19"/>
        <v>0</v>
      </c>
      <c r="I167" s="39"/>
      <c r="J167" s="44"/>
      <c r="K167" s="45"/>
      <c r="L167" s="45"/>
      <c r="M167" s="46"/>
      <c r="N167" s="46"/>
      <c r="O167" s="46"/>
      <c r="P167" s="36"/>
      <c r="Q167" s="45"/>
      <c r="R167" s="3"/>
      <c r="S167" s="2"/>
      <c r="T167" s="2"/>
    </row>
    <row r="168" spans="3:20">
      <c r="C168" s="8">
        <f t="shared" si="15"/>
        <v>0</v>
      </c>
      <c r="D168" s="8">
        <f t="shared" si="16"/>
        <v>0</v>
      </c>
      <c r="E168" s="8">
        <f t="shared" si="17"/>
        <v>0</v>
      </c>
      <c r="F168" s="8">
        <f t="shared" si="18"/>
        <v>0</v>
      </c>
      <c r="G168" s="8"/>
      <c r="H168" s="9">
        <f t="shared" si="19"/>
        <v>0</v>
      </c>
      <c r="I168" s="39"/>
      <c r="J168" s="44"/>
      <c r="K168" s="45"/>
      <c r="L168" s="45"/>
      <c r="M168" s="46"/>
      <c r="N168" s="46"/>
      <c r="O168" s="46"/>
      <c r="P168" s="36"/>
      <c r="Q168" s="45"/>
      <c r="R168" s="3"/>
      <c r="S168" s="2"/>
      <c r="T168" s="2"/>
    </row>
    <row r="169" spans="3:20">
      <c r="C169" s="8">
        <f t="shared" si="15"/>
        <v>0</v>
      </c>
      <c r="D169" s="8">
        <f t="shared" si="16"/>
        <v>0</v>
      </c>
      <c r="E169" s="8">
        <f t="shared" si="17"/>
        <v>0</v>
      </c>
      <c r="F169" s="8">
        <f t="shared" si="18"/>
        <v>0</v>
      </c>
      <c r="G169" s="8"/>
      <c r="H169" s="9">
        <f t="shared" si="19"/>
        <v>0</v>
      </c>
      <c r="I169" s="39"/>
      <c r="J169" s="44"/>
      <c r="K169" s="45"/>
      <c r="L169" s="45"/>
      <c r="M169" s="46"/>
      <c r="N169" s="46"/>
      <c r="O169" s="46"/>
      <c r="P169" s="36"/>
      <c r="Q169" s="45"/>
      <c r="R169" s="3"/>
      <c r="S169" s="2"/>
      <c r="T169" s="2"/>
    </row>
    <row r="170" spans="3:20">
      <c r="C170" s="8">
        <f t="shared" si="15"/>
        <v>0</v>
      </c>
      <c r="D170" s="8">
        <f t="shared" si="16"/>
        <v>0</v>
      </c>
      <c r="E170" s="8">
        <f t="shared" si="17"/>
        <v>0</v>
      </c>
      <c r="F170" s="8">
        <f t="shared" si="18"/>
        <v>0</v>
      </c>
      <c r="G170" s="8"/>
      <c r="H170" s="9">
        <f t="shared" si="19"/>
        <v>0</v>
      </c>
      <c r="I170" s="39"/>
      <c r="J170" s="44"/>
      <c r="K170" s="45"/>
      <c r="L170" s="45"/>
      <c r="M170" s="46"/>
      <c r="N170" s="46"/>
      <c r="O170" s="46"/>
      <c r="P170" s="36"/>
      <c r="Q170" s="45"/>
      <c r="R170" s="3"/>
      <c r="S170" s="2"/>
      <c r="T170" s="2"/>
    </row>
    <row r="171" spans="3:20">
      <c r="C171" s="8">
        <f t="shared" si="15"/>
        <v>0</v>
      </c>
      <c r="D171" s="8">
        <f t="shared" si="16"/>
        <v>0</v>
      </c>
      <c r="E171" s="8">
        <f t="shared" si="17"/>
        <v>0</v>
      </c>
      <c r="F171" s="8">
        <f t="shared" si="18"/>
        <v>0</v>
      </c>
      <c r="G171" s="8"/>
      <c r="H171" s="9">
        <f t="shared" si="19"/>
        <v>0</v>
      </c>
      <c r="I171" s="39"/>
      <c r="J171" s="44"/>
      <c r="K171" s="45"/>
      <c r="L171" s="45"/>
      <c r="M171" s="46"/>
      <c r="N171" s="46"/>
      <c r="O171" s="46"/>
      <c r="P171" s="36"/>
      <c r="Q171" s="45"/>
      <c r="R171" s="3"/>
      <c r="S171" s="2"/>
      <c r="T171" s="2"/>
    </row>
    <row r="172" spans="3:20">
      <c r="C172" s="8">
        <f t="shared" si="15"/>
        <v>0</v>
      </c>
      <c r="D172" s="8">
        <f t="shared" si="16"/>
        <v>0</v>
      </c>
      <c r="E172" s="8">
        <f t="shared" si="17"/>
        <v>0</v>
      </c>
      <c r="F172" s="8">
        <f t="shared" si="18"/>
        <v>0</v>
      </c>
      <c r="G172" s="8"/>
      <c r="H172" s="9">
        <f t="shared" si="19"/>
        <v>0</v>
      </c>
      <c r="I172" s="39"/>
      <c r="J172" s="44"/>
      <c r="K172" s="45"/>
      <c r="L172" s="45"/>
      <c r="M172" s="46"/>
      <c r="N172" s="46"/>
      <c r="O172" s="46"/>
      <c r="P172" s="36"/>
      <c r="Q172" s="45"/>
      <c r="R172" s="3"/>
      <c r="S172" s="2"/>
      <c r="T172" s="2"/>
    </row>
    <row r="173" spans="3:20">
      <c r="C173" s="8">
        <f t="shared" si="15"/>
        <v>0</v>
      </c>
      <c r="D173" s="8">
        <f t="shared" si="16"/>
        <v>0</v>
      </c>
      <c r="E173" s="8">
        <f t="shared" si="17"/>
        <v>0</v>
      </c>
      <c r="F173" s="8">
        <f t="shared" si="18"/>
        <v>0</v>
      </c>
      <c r="G173" s="8"/>
      <c r="H173" s="9">
        <f t="shared" si="19"/>
        <v>0</v>
      </c>
      <c r="I173" s="39"/>
      <c r="J173" s="44"/>
      <c r="K173" s="45"/>
      <c r="L173" s="45"/>
      <c r="M173" s="46"/>
      <c r="N173" s="46"/>
      <c r="O173" s="46"/>
      <c r="P173" s="36"/>
      <c r="Q173" s="45"/>
      <c r="R173" s="3"/>
      <c r="S173" s="2"/>
      <c r="T173" s="2"/>
    </row>
    <row r="174" spans="3:20">
      <c r="C174" s="8">
        <f t="shared" si="15"/>
        <v>0</v>
      </c>
      <c r="D174" s="8">
        <f t="shared" si="16"/>
        <v>0</v>
      </c>
      <c r="E174" s="8">
        <f t="shared" si="17"/>
        <v>0</v>
      </c>
      <c r="F174" s="8">
        <f t="shared" si="18"/>
        <v>0</v>
      </c>
      <c r="G174" s="8"/>
      <c r="H174" s="9">
        <f t="shared" si="19"/>
        <v>0</v>
      </c>
      <c r="I174" s="39"/>
      <c r="J174" s="44"/>
      <c r="K174" s="45"/>
      <c r="L174" s="45"/>
      <c r="M174" s="46"/>
      <c r="N174" s="46"/>
      <c r="O174" s="46"/>
      <c r="P174" s="36"/>
      <c r="Q174" s="45"/>
      <c r="R174" s="3"/>
      <c r="S174" s="2"/>
      <c r="T174" s="2"/>
    </row>
    <row r="175" spans="3:20">
      <c r="C175" s="8">
        <f t="shared" si="15"/>
        <v>0</v>
      </c>
      <c r="D175" s="8">
        <f t="shared" si="16"/>
        <v>0</v>
      </c>
      <c r="E175" s="8">
        <f t="shared" si="17"/>
        <v>0</v>
      </c>
      <c r="F175" s="8">
        <f t="shared" si="18"/>
        <v>0</v>
      </c>
      <c r="G175" s="8"/>
      <c r="H175" s="9">
        <f t="shared" si="19"/>
        <v>0</v>
      </c>
      <c r="I175" s="39"/>
      <c r="J175" s="44"/>
      <c r="K175" s="45"/>
      <c r="L175" s="45"/>
      <c r="M175" s="46"/>
      <c r="N175" s="46"/>
      <c r="O175" s="46"/>
      <c r="P175" s="36"/>
      <c r="Q175" s="45"/>
      <c r="R175" s="3"/>
      <c r="S175" s="2"/>
      <c r="T175" s="2"/>
    </row>
    <row r="176" spans="3:20">
      <c r="C176" s="8">
        <f t="shared" si="15"/>
        <v>0</v>
      </c>
      <c r="D176" s="8">
        <f t="shared" si="16"/>
        <v>0</v>
      </c>
      <c r="E176" s="8">
        <f t="shared" si="17"/>
        <v>0</v>
      </c>
      <c r="F176" s="8">
        <f t="shared" si="18"/>
        <v>0</v>
      </c>
      <c r="G176" s="8"/>
      <c r="H176" s="9">
        <f t="shared" si="19"/>
        <v>0</v>
      </c>
      <c r="I176" s="39"/>
      <c r="J176" s="44"/>
      <c r="K176" s="45"/>
      <c r="L176" s="45"/>
      <c r="M176" s="46"/>
      <c r="N176" s="46"/>
      <c r="O176" s="46"/>
      <c r="P176" s="36"/>
      <c r="Q176" s="45"/>
      <c r="R176" s="3"/>
      <c r="S176" s="2"/>
      <c r="T176" s="2"/>
    </row>
    <row r="177" spans="3:20">
      <c r="C177" s="8">
        <f t="shared" si="15"/>
        <v>0</v>
      </c>
      <c r="D177" s="8">
        <f t="shared" si="16"/>
        <v>0</v>
      </c>
      <c r="E177" s="8">
        <f t="shared" si="17"/>
        <v>0</v>
      </c>
      <c r="F177" s="8">
        <f t="shared" si="18"/>
        <v>0</v>
      </c>
      <c r="G177" s="8"/>
      <c r="H177" s="9">
        <f t="shared" si="19"/>
        <v>0</v>
      </c>
      <c r="I177" s="39"/>
      <c r="J177" s="44"/>
      <c r="K177" s="45"/>
      <c r="L177" s="45"/>
      <c r="M177" s="46"/>
      <c r="N177" s="46"/>
      <c r="O177" s="46"/>
      <c r="P177" s="36"/>
      <c r="Q177" s="45"/>
      <c r="R177" s="3"/>
      <c r="S177" s="2"/>
      <c r="T177" s="2"/>
    </row>
    <row r="178" spans="3:20">
      <c r="C178" s="8">
        <f t="shared" si="15"/>
        <v>0</v>
      </c>
      <c r="D178" s="8">
        <f t="shared" si="16"/>
        <v>0</v>
      </c>
      <c r="E178" s="8">
        <f t="shared" si="17"/>
        <v>0</v>
      </c>
      <c r="F178" s="8">
        <f t="shared" si="18"/>
        <v>0</v>
      </c>
      <c r="G178" s="8"/>
      <c r="H178" s="9">
        <f t="shared" si="19"/>
        <v>0</v>
      </c>
      <c r="I178" s="39"/>
      <c r="J178" s="44"/>
      <c r="K178" s="45"/>
      <c r="L178" s="45"/>
      <c r="M178" s="46"/>
      <c r="N178" s="46"/>
      <c r="O178" s="46"/>
      <c r="P178" s="36"/>
      <c r="Q178" s="45"/>
      <c r="R178" s="3"/>
      <c r="S178" s="2"/>
      <c r="T178" s="2"/>
    </row>
    <row r="179" spans="3:20">
      <c r="C179" s="8">
        <f t="shared" si="15"/>
        <v>0</v>
      </c>
      <c r="D179" s="8">
        <f t="shared" si="16"/>
        <v>0</v>
      </c>
      <c r="E179" s="8">
        <f t="shared" si="17"/>
        <v>0</v>
      </c>
      <c r="F179" s="8">
        <f t="shared" si="18"/>
        <v>0</v>
      </c>
      <c r="G179" s="8"/>
      <c r="H179" s="9">
        <f t="shared" si="19"/>
        <v>0</v>
      </c>
      <c r="I179" s="39"/>
      <c r="J179" s="44"/>
      <c r="K179" s="45"/>
      <c r="L179" s="45"/>
      <c r="M179" s="46"/>
      <c r="N179" s="46"/>
      <c r="O179" s="46"/>
      <c r="P179" s="36"/>
      <c r="Q179" s="45"/>
      <c r="R179" s="3"/>
      <c r="S179" s="2"/>
      <c r="T179" s="2"/>
    </row>
    <row r="180" spans="3:20">
      <c r="C180" s="8">
        <f t="shared" si="15"/>
        <v>0</v>
      </c>
      <c r="D180" s="8">
        <f t="shared" si="16"/>
        <v>0</v>
      </c>
      <c r="E180" s="8">
        <f t="shared" si="17"/>
        <v>0</v>
      </c>
      <c r="F180" s="8">
        <f t="shared" si="18"/>
        <v>0</v>
      </c>
      <c r="G180" s="8"/>
      <c r="H180" s="9">
        <f t="shared" si="19"/>
        <v>0</v>
      </c>
      <c r="I180" s="39"/>
      <c r="J180" s="44"/>
      <c r="K180" s="45"/>
      <c r="L180" s="45"/>
      <c r="M180" s="46"/>
      <c r="N180" s="46"/>
      <c r="O180" s="46"/>
      <c r="P180" s="36"/>
      <c r="Q180" s="45"/>
      <c r="R180" s="3"/>
      <c r="S180" s="2"/>
      <c r="T180" s="2"/>
    </row>
    <row r="181" spans="3:20">
      <c r="C181" s="8">
        <f t="shared" si="15"/>
        <v>0</v>
      </c>
      <c r="D181" s="8">
        <f t="shared" si="16"/>
        <v>0</v>
      </c>
      <c r="E181" s="8">
        <f t="shared" si="17"/>
        <v>0</v>
      </c>
      <c r="F181" s="8">
        <f t="shared" si="18"/>
        <v>0</v>
      </c>
      <c r="G181" s="8"/>
      <c r="H181" s="9">
        <f t="shared" si="19"/>
        <v>0</v>
      </c>
      <c r="I181" s="39"/>
      <c r="J181" s="44"/>
      <c r="K181" s="45"/>
      <c r="L181" s="45"/>
      <c r="M181" s="46"/>
      <c r="N181" s="46"/>
      <c r="O181" s="46"/>
      <c r="P181" s="36"/>
      <c r="Q181" s="45"/>
      <c r="R181" s="3"/>
      <c r="S181" s="2"/>
      <c r="T181" s="2"/>
    </row>
    <row r="182" spans="3:20">
      <c r="C182" s="8">
        <f t="shared" si="15"/>
        <v>0</v>
      </c>
      <c r="D182" s="8">
        <f t="shared" si="16"/>
        <v>0</v>
      </c>
      <c r="E182" s="8">
        <f t="shared" si="17"/>
        <v>0</v>
      </c>
      <c r="F182" s="8">
        <f t="shared" si="18"/>
        <v>0</v>
      </c>
      <c r="G182" s="8"/>
      <c r="H182" s="9">
        <f t="shared" si="19"/>
        <v>0</v>
      </c>
      <c r="I182" s="39"/>
      <c r="J182" s="44"/>
      <c r="K182" s="45"/>
      <c r="L182" s="45"/>
      <c r="M182" s="46"/>
      <c r="N182" s="46"/>
      <c r="O182" s="46"/>
      <c r="P182" s="36"/>
      <c r="Q182" s="45"/>
      <c r="R182" s="3"/>
      <c r="S182" s="2"/>
      <c r="T182" s="2"/>
    </row>
    <row r="183" spans="3:20">
      <c r="C183" s="8">
        <f t="shared" si="15"/>
        <v>0</v>
      </c>
      <c r="D183" s="8">
        <f t="shared" si="16"/>
        <v>0</v>
      </c>
      <c r="E183" s="8">
        <f t="shared" si="17"/>
        <v>0</v>
      </c>
      <c r="F183" s="8">
        <f t="shared" si="18"/>
        <v>0</v>
      </c>
      <c r="G183" s="8"/>
      <c r="H183" s="9">
        <f t="shared" si="19"/>
        <v>0</v>
      </c>
      <c r="I183" s="39"/>
      <c r="J183" s="44"/>
      <c r="K183" s="45"/>
      <c r="L183" s="45"/>
      <c r="M183" s="46"/>
      <c r="N183" s="46"/>
      <c r="O183" s="46"/>
      <c r="P183" s="36"/>
      <c r="Q183" s="45"/>
      <c r="R183" s="3"/>
      <c r="S183" s="2"/>
      <c r="T183" s="2"/>
    </row>
    <row r="184" spans="3:20">
      <c r="C184" s="8">
        <f t="shared" si="15"/>
        <v>0</v>
      </c>
      <c r="D184" s="8">
        <f t="shared" si="16"/>
        <v>0</v>
      </c>
      <c r="E184" s="8">
        <f t="shared" si="17"/>
        <v>0</v>
      </c>
      <c r="F184" s="8">
        <f t="shared" si="18"/>
        <v>0</v>
      </c>
      <c r="G184" s="8"/>
      <c r="H184" s="9">
        <f t="shared" si="19"/>
        <v>0</v>
      </c>
      <c r="I184" s="39"/>
      <c r="J184" s="44"/>
      <c r="K184" s="45"/>
      <c r="L184" s="45"/>
      <c r="M184" s="46"/>
      <c r="N184" s="46"/>
      <c r="O184" s="46"/>
      <c r="P184" s="36"/>
      <c r="Q184" s="45"/>
      <c r="R184" s="3"/>
      <c r="S184" s="2"/>
      <c r="T184" s="2"/>
    </row>
    <row r="185" spans="3:20">
      <c r="C185" s="8">
        <f t="shared" si="15"/>
        <v>0</v>
      </c>
      <c r="D185" s="8">
        <f t="shared" si="16"/>
        <v>0</v>
      </c>
      <c r="E185" s="8">
        <f t="shared" si="17"/>
        <v>0</v>
      </c>
      <c r="F185" s="8">
        <f t="shared" si="18"/>
        <v>0</v>
      </c>
      <c r="G185" s="8"/>
      <c r="H185" s="9">
        <f t="shared" si="19"/>
        <v>0</v>
      </c>
      <c r="I185" s="39"/>
      <c r="J185" s="44"/>
      <c r="K185" s="45"/>
      <c r="L185" s="45"/>
      <c r="M185" s="46"/>
      <c r="N185" s="46"/>
      <c r="O185" s="46"/>
      <c r="P185" s="36"/>
      <c r="Q185" s="45"/>
      <c r="R185" s="3"/>
      <c r="S185" s="2"/>
      <c r="T185" s="2"/>
    </row>
    <row r="186" spans="3:20">
      <c r="C186" s="8">
        <f t="shared" si="15"/>
        <v>0</v>
      </c>
      <c r="D186" s="8">
        <f t="shared" si="16"/>
        <v>0</v>
      </c>
      <c r="E186" s="8">
        <f t="shared" si="17"/>
        <v>0</v>
      </c>
      <c r="F186" s="8">
        <f t="shared" si="18"/>
        <v>0</v>
      </c>
      <c r="G186" s="8"/>
      <c r="H186" s="9">
        <f t="shared" si="19"/>
        <v>0</v>
      </c>
      <c r="I186" s="39"/>
      <c r="J186" s="44"/>
      <c r="K186" s="45"/>
      <c r="L186" s="45"/>
      <c r="M186" s="46"/>
      <c r="N186" s="46"/>
      <c r="O186" s="46"/>
      <c r="P186" s="36"/>
      <c r="Q186" s="45"/>
      <c r="R186" s="3"/>
      <c r="S186" s="2"/>
      <c r="T186" s="2"/>
    </row>
    <row r="187" spans="3:20">
      <c r="C187" s="8">
        <f t="shared" si="15"/>
        <v>0</v>
      </c>
      <c r="D187" s="8">
        <f t="shared" si="16"/>
        <v>0</v>
      </c>
      <c r="E187" s="8">
        <f t="shared" si="17"/>
        <v>0</v>
      </c>
      <c r="F187" s="8">
        <f t="shared" si="18"/>
        <v>0</v>
      </c>
      <c r="G187" s="8"/>
      <c r="H187" s="9">
        <f t="shared" si="19"/>
        <v>0</v>
      </c>
      <c r="I187" s="39"/>
      <c r="J187" s="44"/>
      <c r="K187" s="45"/>
      <c r="L187" s="45"/>
      <c r="M187" s="46"/>
      <c r="N187" s="46"/>
      <c r="O187" s="46"/>
      <c r="P187" s="36"/>
      <c r="Q187" s="45"/>
      <c r="R187" s="3"/>
      <c r="S187" s="2"/>
      <c r="T187" s="2"/>
    </row>
    <row r="188" spans="3:20">
      <c r="C188" s="8">
        <f t="shared" si="15"/>
        <v>0</v>
      </c>
      <c r="D188" s="8">
        <f t="shared" si="16"/>
        <v>0</v>
      </c>
      <c r="E188" s="8">
        <f t="shared" si="17"/>
        <v>0</v>
      </c>
      <c r="F188" s="8">
        <f t="shared" si="18"/>
        <v>0</v>
      </c>
      <c r="G188" s="8"/>
      <c r="H188" s="9">
        <f t="shared" si="19"/>
        <v>0</v>
      </c>
      <c r="I188" s="39"/>
      <c r="J188" s="44"/>
      <c r="K188" s="45"/>
      <c r="L188" s="45"/>
      <c r="M188" s="46"/>
      <c r="N188" s="46"/>
      <c r="O188" s="46"/>
      <c r="P188" s="36"/>
      <c r="Q188" s="45"/>
      <c r="R188" s="3"/>
      <c r="S188" s="2"/>
      <c r="T188" s="2"/>
    </row>
    <row r="189" spans="3:20">
      <c r="C189" s="8">
        <f t="shared" si="15"/>
        <v>0</v>
      </c>
      <c r="D189" s="8">
        <f t="shared" si="16"/>
        <v>0</v>
      </c>
      <c r="E189" s="8">
        <f t="shared" si="17"/>
        <v>0</v>
      </c>
      <c r="F189" s="8">
        <f t="shared" si="18"/>
        <v>0</v>
      </c>
      <c r="G189" s="8"/>
      <c r="H189" s="9">
        <f t="shared" si="19"/>
        <v>0</v>
      </c>
      <c r="I189" s="39"/>
      <c r="J189" s="44"/>
      <c r="K189" s="45"/>
      <c r="L189" s="45"/>
      <c r="M189" s="46"/>
      <c r="N189" s="46"/>
      <c r="O189" s="46"/>
      <c r="P189" s="36"/>
      <c r="Q189" s="45"/>
      <c r="R189" s="3"/>
      <c r="S189" s="2"/>
      <c r="T189" s="2"/>
    </row>
    <row r="190" spans="3:20">
      <c r="C190" s="8">
        <f t="shared" si="15"/>
        <v>0</v>
      </c>
      <c r="D190" s="8">
        <f t="shared" si="16"/>
        <v>0</v>
      </c>
      <c r="E190" s="8">
        <f t="shared" si="17"/>
        <v>0</v>
      </c>
      <c r="F190" s="8">
        <f t="shared" si="18"/>
        <v>0</v>
      </c>
      <c r="G190" s="8"/>
      <c r="H190" s="9">
        <f t="shared" si="19"/>
        <v>0</v>
      </c>
      <c r="I190" s="39"/>
      <c r="J190" s="44"/>
      <c r="K190" s="45"/>
      <c r="L190" s="45"/>
      <c r="M190" s="46"/>
      <c r="N190" s="46"/>
      <c r="O190" s="46"/>
      <c r="P190" s="36"/>
      <c r="Q190" s="45"/>
      <c r="R190" s="3"/>
      <c r="S190" s="2"/>
      <c r="T190" s="2"/>
    </row>
    <row r="191" spans="3:20">
      <c r="C191" s="8">
        <f t="shared" si="15"/>
        <v>0</v>
      </c>
      <c r="D191" s="8">
        <f t="shared" si="16"/>
        <v>0</v>
      </c>
      <c r="E191" s="8">
        <f t="shared" si="17"/>
        <v>0</v>
      </c>
      <c r="F191" s="8">
        <f t="shared" si="18"/>
        <v>0</v>
      </c>
      <c r="G191" s="8"/>
      <c r="H191" s="9">
        <f t="shared" si="19"/>
        <v>0</v>
      </c>
      <c r="I191" s="39"/>
      <c r="J191" s="44"/>
      <c r="K191" s="45"/>
      <c r="L191" s="45"/>
      <c r="M191" s="46"/>
      <c r="N191" s="46"/>
      <c r="O191" s="46"/>
      <c r="P191" s="36"/>
      <c r="Q191" s="45"/>
      <c r="R191" s="3"/>
      <c r="S191" s="2"/>
      <c r="T191" s="2"/>
    </row>
    <row r="192" spans="3:20">
      <c r="C192" s="8">
        <f t="shared" si="15"/>
        <v>0</v>
      </c>
      <c r="D192" s="8">
        <f t="shared" si="16"/>
        <v>0</v>
      </c>
      <c r="E192" s="8">
        <f t="shared" si="17"/>
        <v>0</v>
      </c>
      <c r="F192" s="8">
        <f t="shared" si="18"/>
        <v>0</v>
      </c>
      <c r="G192" s="8"/>
      <c r="H192" s="9">
        <f t="shared" si="19"/>
        <v>0</v>
      </c>
      <c r="I192" s="39"/>
      <c r="J192" s="44"/>
      <c r="K192" s="45"/>
      <c r="L192" s="45"/>
      <c r="M192" s="46"/>
      <c r="N192" s="46"/>
      <c r="O192" s="46"/>
      <c r="P192" s="36"/>
      <c r="Q192" s="45"/>
      <c r="R192" s="3"/>
      <c r="S192" s="2"/>
      <c r="T192" s="2"/>
    </row>
    <row r="193" spans="3:20">
      <c r="C193" s="8">
        <f t="shared" si="15"/>
        <v>0</v>
      </c>
      <c r="D193" s="8">
        <f t="shared" si="16"/>
        <v>0</v>
      </c>
      <c r="E193" s="8">
        <f t="shared" si="17"/>
        <v>0</v>
      </c>
      <c r="F193" s="8">
        <f t="shared" si="18"/>
        <v>0</v>
      </c>
      <c r="G193" s="8"/>
      <c r="H193" s="9">
        <f t="shared" si="19"/>
        <v>0</v>
      </c>
      <c r="I193" s="39"/>
      <c r="J193" s="44"/>
      <c r="K193" s="45"/>
      <c r="L193" s="45"/>
      <c r="M193" s="46"/>
      <c r="N193" s="46"/>
      <c r="O193" s="46"/>
      <c r="P193" s="36"/>
      <c r="Q193" s="45"/>
      <c r="R193" s="3"/>
      <c r="S193" s="2"/>
      <c r="T193" s="2"/>
    </row>
    <row r="194" spans="3:20">
      <c r="C194" s="8">
        <f t="shared" si="15"/>
        <v>0</v>
      </c>
      <c r="D194" s="8">
        <f t="shared" si="16"/>
        <v>0</v>
      </c>
      <c r="E194" s="8">
        <f t="shared" si="17"/>
        <v>0</v>
      </c>
      <c r="F194" s="8">
        <f t="shared" si="18"/>
        <v>0</v>
      </c>
      <c r="G194" s="8"/>
      <c r="H194" s="9">
        <f t="shared" si="19"/>
        <v>0</v>
      </c>
      <c r="I194" s="39"/>
      <c r="J194" s="44"/>
      <c r="K194" s="45"/>
      <c r="L194" s="45"/>
      <c r="M194" s="46"/>
      <c r="N194" s="46"/>
      <c r="O194" s="46"/>
      <c r="P194" s="36"/>
      <c r="Q194" s="45"/>
      <c r="R194" s="3"/>
      <c r="S194" s="2"/>
      <c r="T194" s="2"/>
    </row>
    <row r="195" spans="3:20">
      <c r="C195" s="8">
        <f t="shared" si="15"/>
        <v>0</v>
      </c>
      <c r="D195" s="8">
        <f t="shared" si="16"/>
        <v>0</v>
      </c>
      <c r="E195" s="8">
        <f t="shared" si="17"/>
        <v>0</v>
      </c>
      <c r="F195" s="8">
        <f t="shared" si="18"/>
        <v>0</v>
      </c>
      <c r="G195" s="8"/>
      <c r="H195" s="9">
        <f t="shared" si="19"/>
        <v>0</v>
      </c>
      <c r="I195" s="39"/>
      <c r="J195" s="44"/>
      <c r="K195" s="45"/>
      <c r="L195" s="45"/>
      <c r="M195" s="46"/>
      <c r="N195" s="46"/>
      <c r="O195" s="46"/>
      <c r="P195" s="36"/>
      <c r="Q195" s="45"/>
      <c r="R195" s="3"/>
      <c r="S195" s="2"/>
      <c r="T195" s="2"/>
    </row>
    <row r="196" spans="3:20">
      <c r="C196" s="8">
        <f t="shared" si="15"/>
        <v>0</v>
      </c>
      <c r="D196" s="8">
        <f t="shared" si="16"/>
        <v>0</v>
      </c>
      <c r="E196" s="8">
        <f t="shared" si="17"/>
        <v>0</v>
      </c>
      <c r="F196" s="8">
        <f t="shared" si="18"/>
        <v>0</v>
      </c>
      <c r="G196" s="8"/>
      <c r="H196" s="9">
        <f t="shared" si="19"/>
        <v>0</v>
      </c>
      <c r="I196" s="39"/>
      <c r="J196" s="44"/>
      <c r="K196" s="45"/>
      <c r="L196" s="45"/>
      <c r="M196" s="46"/>
      <c r="N196" s="46"/>
      <c r="O196" s="46"/>
      <c r="P196" s="36"/>
      <c r="Q196" s="45"/>
      <c r="R196" s="3"/>
      <c r="S196" s="2"/>
      <c r="T196" s="2"/>
    </row>
    <row r="197" spans="3:20">
      <c r="C197" s="8">
        <f t="shared" si="15"/>
        <v>0</v>
      </c>
      <c r="D197" s="8">
        <f t="shared" si="16"/>
        <v>0</v>
      </c>
      <c r="E197" s="8">
        <f t="shared" si="17"/>
        <v>0</v>
      </c>
      <c r="F197" s="8">
        <f t="shared" si="18"/>
        <v>0</v>
      </c>
      <c r="G197" s="8"/>
      <c r="H197" s="9">
        <f t="shared" si="19"/>
        <v>0</v>
      </c>
      <c r="I197" s="39"/>
      <c r="J197" s="44"/>
      <c r="K197" s="45"/>
      <c r="L197" s="45"/>
      <c r="M197" s="46"/>
      <c r="N197" s="46"/>
      <c r="O197" s="46"/>
      <c r="P197" s="36"/>
      <c r="Q197" s="45"/>
      <c r="R197" s="3"/>
      <c r="S197" s="2"/>
      <c r="T197" s="2"/>
    </row>
    <row r="198" spans="3:20">
      <c r="C198" s="8">
        <f t="shared" si="15"/>
        <v>0</v>
      </c>
      <c r="D198" s="8">
        <f t="shared" si="16"/>
        <v>0</v>
      </c>
      <c r="E198" s="8">
        <f t="shared" si="17"/>
        <v>0</v>
      </c>
      <c r="F198" s="8">
        <f t="shared" si="18"/>
        <v>0</v>
      </c>
      <c r="G198" s="8"/>
      <c r="H198" s="9">
        <f t="shared" si="19"/>
        <v>0</v>
      </c>
      <c r="I198" s="39"/>
      <c r="J198" s="44"/>
      <c r="K198" s="45"/>
      <c r="L198" s="45"/>
      <c r="M198" s="46"/>
      <c r="N198" s="46"/>
      <c r="O198" s="46"/>
      <c r="P198" s="36"/>
      <c r="Q198" s="45"/>
      <c r="R198" s="3"/>
      <c r="S198" s="2"/>
      <c r="T198" s="2"/>
    </row>
    <row r="199" spans="3:20">
      <c r="C199" s="8">
        <f t="shared" ref="C199:C206" si="21">IF(AND(I199&lt;&gt;"",ISBLANK(J199)),1,0)</f>
        <v>0</v>
      </c>
      <c r="D199" s="8">
        <f t="shared" ref="D199:D206" si="22">IF(AND(I199&lt;&gt;"",ISBLANK(K199)),1,0)</f>
        <v>0</v>
      </c>
      <c r="E199" s="8">
        <f t="shared" ref="E199:E206" si="23">IF(AND(I199&lt;&gt;"",ISBLANK(L199)),1,0)</f>
        <v>0</v>
      </c>
      <c r="F199" s="8">
        <f t="shared" ref="F199:F206" si="24">IF(AND(I199&lt;&gt;"",P199&lt;=0),1,0)</f>
        <v>0</v>
      </c>
      <c r="G199" s="8"/>
      <c r="H199" s="9">
        <f t="shared" ref="H199:H206" si="25">SUM(C199:G199)</f>
        <v>0</v>
      </c>
      <c r="I199" s="39"/>
      <c r="J199" s="44"/>
      <c r="K199" s="45"/>
      <c r="L199" s="45"/>
      <c r="M199" s="46"/>
      <c r="N199" s="46"/>
      <c r="O199" s="46"/>
      <c r="P199" s="36"/>
      <c r="Q199" s="45"/>
      <c r="R199" s="3"/>
      <c r="S199" s="2"/>
      <c r="T199" s="2"/>
    </row>
    <row r="200" spans="3:20">
      <c r="C200" s="8">
        <f t="shared" si="21"/>
        <v>0</v>
      </c>
      <c r="D200" s="8">
        <f t="shared" si="22"/>
        <v>0</v>
      </c>
      <c r="E200" s="8">
        <f t="shared" si="23"/>
        <v>0</v>
      </c>
      <c r="F200" s="8">
        <f t="shared" si="24"/>
        <v>0</v>
      </c>
      <c r="G200" s="8"/>
      <c r="H200" s="9">
        <f t="shared" si="25"/>
        <v>0</v>
      </c>
      <c r="I200" s="39"/>
      <c r="J200" s="44"/>
      <c r="K200" s="45"/>
      <c r="L200" s="45"/>
      <c r="M200" s="46"/>
      <c r="N200" s="46"/>
      <c r="O200" s="46"/>
      <c r="P200" s="36"/>
      <c r="Q200" s="45"/>
      <c r="R200" s="3"/>
      <c r="S200" s="2"/>
      <c r="T200" s="2"/>
    </row>
    <row r="201" spans="3:20">
      <c r="C201" s="8">
        <f t="shared" si="21"/>
        <v>0</v>
      </c>
      <c r="D201" s="8">
        <f t="shared" si="22"/>
        <v>0</v>
      </c>
      <c r="E201" s="8">
        <f t="shared" si="23"/>
        <v>0</v>
      </c>
      <c r="F201" s="8">
        <f t="shared" si="24"/>
        <v>0</v>
      </c>
      <c r="G201" s="8"/>
      <c r="H201" s="9">
        <f t="shared" si="25"/>
        <v>0</v>
      </c>
      <c r="I201" s="39"/>
      <c r="J201" s="44"/>
      <c r="K201" s="45"/>
      <c r="L201" s="45"/>
      <c r="M201" s="46"/>
      <c r="N201" s="46"/>
      <c r="O201" s="46"/>
      <c r="P201" s="36"/>
      <c r="Q201" s="45"/>
      <c r="R201" s="3"/>
    </row>
    <row r="202" spans="3:20">
      <c r="C202" s="8">
        <f t="shared" si="21"/>
        <v>0</v>
      </c>
      <c r="D202" s="8">
        <f t="shared" si="22"/>
        <v>0</v>
      </c>
      <c r="E202" s="8">
        <f t="shared" si="23"/>
        <v>0</v>
      </c>
      <c r="F202" s="8">
        <f t="shared" si="24"/>
        <v>0</v>
      </c>
      <c r="G202" s="8"/>
      <c r="H202" s="9">
        <f t="shared" si="25"/>
        <v>0</v>
      </c>
      <c r="I202" s="39"/>
      <c r="J202" s="44"/>
      <c r="K202" s="45"/>
      <c r="L202" s="45"/>
      <c r="M202" s="46"/>
      <c r="N202" s="46"/>
      <c r="O202" s="46"/>
      <c r="P202" s="36"/>
      <c r="Q202" s="45"/>
      <c r="R202" s="3"/>
    </row>
    <row r="203" spans="3:20">
      <c r="C203" s="8">
        <f t="shared" si="21"/>
        <v>0</v>
      </c>
      <c r="D203" s="8">
        <f t="shared" si="22"/>
        <v>0</v>
      </c>
      <c r="E203" s="8">
        <f t="shared" si="23"/>
        <v>0</v>
      </c>
      <c r="F203" s="8">
        <f t="shared" si="24"/>
        <v>0</v>
      </c>
      <c r="G203" s="8"/>
      <c r="H203" s="9">
        <f t="shared" si="25"/>
        <v>0</v>
      </c>
      <c r="I203" s="39"/>
      <c r="J203" s="44"/>
      <c r="K203" s="45"/>
      <c r="L203" s="45"/>
      <c r="M203" s="46"/>
      <c r="N203" s="46"/>
      <c r="O203" s="46"/>
      <c r="P203" s="36"/>
      <c r="Q203" s="45"/>
      <c r="R203" s="3"/>
    </row>
    <row r="204" spans="3:20">
      <c r="C204" s="8">
        <f t="shared" si="21"/>
        <v>0</v>
      </c>
      <c r="D204" s="8">
        <f t="shared" si="22"/>
        <v>0</v>
      </c>
      <c r="E204" s="8">
        <f t="shared" si="23"/>
        <v>0</v>
      </c>
      <c r="F204" s="8">
        <f t="shared" si="24"/>
        <v>0</v>
      </c>
      <c r="G204" s="8"/>
      <c r="H204" s="9">
        <f t="shared" si="25"/>
        <v>0</v>
      </c>
      <c r="I204" s="39"/>
      <c r="J204" s="44"/>
      <c r="K204" s="45"/>
      <c r="L204" s="45"/>
      <c r="M204" s="46"/>
      <c r="N204" s="46"/>
      <c r="O204" s="46"/>
      <c r="P204" s="36"/>
      <c r="Q204" s="45"/>
      <c r="R204" s="3"/>
    </row>
    <row r="205" spans="3:20">
      <c r="C205" s="8">
        <f t="shared" si="21"/>
        <v>0</v>
      </c>
      <c r="D205" s="8">
        <f t="shared" si="22"/>
        <v>0</v>
      </c>
      <c r="E205" s="8">
        <f t="shared" si="23"/>
        <v>0</v>
      </c>
      <c r="F205" s="8">
        <f t="shared" si="24"/>
        <v>0</v>
      </c>
      <c r="G205" s="8"/>
      <c r="H205" s="9">
        <f t="shared" si="25"/>
        <v>0</v>
      </c>
      <c r="I205" s="39"/>
      <c r="J205" s="44"/>
      <c r="K205" s="45"/>
      <c r="L205" s="45"/>
      <c r="M205" s="46"/>
      <c r="N205" s="46"/>
      <c r="O205" s="46"/>
      <c r="P205" s="36"/>
      <c r="Q205" s="45"/>
      <c r="R205" s="3"/>
    </row>
    <row r="206" spans="3:20">
      <c r="C206" s="8">
        <f t="shared" si="21"/>
        <v>0</v>
      </c>
      <c r="D206" s="8">
        <f t="shared" si="22"/>
        <v>0</v>
      </c>
      <c r="E206" s="8">
        <f t="shared" si="23"/>
        <v>0</v>
      </c>
      <c r="F206" s="8">
        <f t="shared" si="24"/>
        <v>0</v>
      </c>
      <c r="G206" s="8"/>
      <c r="H206" s="9">
        <f t="shared" si="25"/>
        <v>0</v>
      </c>
      <c r="I206" s="39"/>
      <c r="J206" s="44"/>
      <c r="K206" s="45"/>
      <c r="L206" s="45"/>
      <c r="M206" s="46"/>
      <c r="N206" s="46"/>
      <c r="O206" s="46"/>
      <c r="P206" s="36"/>
      <c r="Q206" s="45"/>
      <c r="R206" s="3"/>
    </row>
  </sheetData>
  <sheetProtection algorithmName="SHA-512" hashValue="asAmDc03cxqWcV35iuvO+zS9SOCWRyMD3moGLlLzv92zYZPoucCI+8xPg+IwPZSLaBNzzNdEiR/1u2CV/+7iaQ==" saltValue="JxbGhH0Dvo42RkwRGPPR1Q==" spinCount="100000" sheet="1" objects="1" scenarios="1" selectLockedCells="1"/>
  <conditionalFormatting sqref="Q6:Q7 J6:O206 Q8:R11 Q12 Q13:R206">
    <cfRule type="expression" dxfId="30" priority="23">
      <formula>$H6&gt;0</formula>
    </cfRule>
  </conditionalFormatting>
  <conditionalFormatting sqref="T19:T38">
    <cfRule type="expression" dxfId="29" priority="2">
      <formula>OR(AND($T19&gt;0,$U19&gt;0),AND($T19&gt;0,$V19&gt;0))</formula>
    </cfRule>
  </conditionalFormatting>
  <conditionalFormatting sqref="T12:V12">
    <cfRule type="expression" dxfId="28" priority="25">
      <formula>$H13&gt;0</formula>
    </cfRule>
  </conditionalFormatting>
  <conditionalFormatting sqref="T12:V14">
    <cfRule type="expression" dxfId="27" priority="13">
      <formula>$H12&gt;0</formula>
    </cfRule>
  </conditionalFormatting>
  <conditionalFormatting sqref="U15">
    <cfRule type="expression" dxfId="26" priority="18">
      <formula>$H15&gt;0</formula>
    </cfRule>
  </conditionalFormatting>
  <conditionalFormatting sqref="U19:U38">
    <cfRule type="expression" dxfId="25" priority="9">
      <formula>OR(AND($T19&gt;0,$U19&gt;0),AND($U19&gt;0,$V19&gt;0))</formula>
    </cfRule>
  </conditionalFormatting>
  <conditionalFormatting sqref="V3">
    <cfRule type="expression" dxfId="24" priority="20">
      <formula>$H5&gt;0</formula>
    </cfRule>
  </conditionalFormatting>
  <conditionalFormatting sqref="V19:V38">
    <cfRule type="expression" dxfId="23" priority="8">
      <formula>OR(AND($V19&gt;0,$U19&gt;0),AND($T19&gt;0,$V19&gt;0))</formula>
    </cfRule>
  </conditionalFormatting>
  <dataValidations count="5">
    <dataValidation type="textLength" allowBlank="1" showInputMessage="1" showErrorMessage="1" sqref="Q6:R6" ns2:uid="{6EBEF90C-78BD-40E4-98E7-A6CC758CF41D}">
      <formula1>0</formula1>
      <formula2>30</formula2>
    </dataValidation>
    <dataValidation type="list" allowBlank="1" showInputMessage="1" showErrorMessage="1" sqref="L6:L206" ns2:uid="{153E405C-916D-4688-8173-24B570D9C512}">
      <formula1>"NIO,USD,EUR"</formula1>
    </dataValidation>
    <dataValidation type="whole" allowBlank="1" showInputMessage="1" showErrorMessage="1" sqref="K6:K206" ns2:uid="{809717C0-7B22-4708-B4D3-6C7A16C64305}">
      <formula1>1</formula1>
      <formula2>999999999</formula2>
    </dataValidation>
    <dataValidation type="decimal" allowBlank="1" showInputMessage="1" showErrorMessage="1" sqref="M6:P206" ns2:uid="{C3793CDE-017D-48C5-A06F-ED467B14A7B1}">
      <formula1>0</formula1>
      <formula2>99999999</formula2>
    </dataValidation>
    <dataValidation type="textLength" allowBlank="1" showInputMessage="1" showErrorMessage="1" sqref="J6:J206" ns2:uid="{AF2F9FF1-C949-474B-90BD-E71959EFCD62}">
      <formula1>1</formula1>
      <formula2>30</formula2>
    </dataValidation>
  </dataValidations>
  <pageMargins left="0.7" right="0.7" top="0.75" bottom="0.75" header="0.3" footer="0.3"/>
  <ignoredErrors>
    <ignoredError sqref="I6" calculatedColumn="1"/>
  </ignoredErrors>
  <drawing ns4:id="rId1"/>
  <tableParts count="1">
    <tablePart ns4:id="rId2"/>
  </tableParts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openxmlformats.org/officeDocument/2006/relationships" xmlns:ns4="http://schemas.microsoft.com/office/spreadsheetml/2009/9/main" xmlns:ns5="http://schemas.microsoft.com/office/excel/2006/main" ns1:Ignorable="x14ac xr xr2 xr3" ns2:uid="{0FDE9008-42CE-45B0-9A5D-A193E0FE10F1}">
  <dimension ref="A1:H52"/>
  <sheetViews>
    <sheetView showGridLines="0" zoomScale="130" workbookViewId="0">
      <selection activeCell="B5" sqref="B5:C10"/>
    </sheetView>
  </sheetViews>
  <sheetFormatPr defaultRowHeight="15"/>
  <cols>
    <col min="1" max="1" width="17" bestFit="1" customWidth="1"/>
    <col min="2" max="2" width="17.7109375" customWidth="1"/>
    <col min="3" max="3" width="27" customWidth="1"/>
    <col min="4" max="4" width="16" customWidth="1"/>
    <col min="5" max="5" width="14.5703125" customWidth="1"/>
  </cols>
  <sheetData>
    <row r="1" spans="1:8">
      <c r="A1" s="37" t="s">
        <v>21</v>
      </c>
      <c r="B1" s="37" t="s">
        <v>22</v>
      </c>
      <c r="C1" s="37" t="s">
        <v>23</v>
      </c>
      <c r="D1" s="37" t="s">
        <v>8</v>
      </c>
      <c r="E1" s="37" t="s">
        <v>24</v>
      </c>
      <c r="F1" s="8" t="str">
        <f>IF(MAX(F2:F51)&gt;0,"❌","✔️")</f>
        <v>✔️</v>
      </c>
      <c r="H1" s="8">
        <f>MAX(H2:H51)</f>
        <v>1</v>
      </c>
    </row>
    <row r="2" spans="1:8">
      <c r="A2" s="47"/>
      <c r="B2" s="48"/>
      <c r="C2" s="49"/>
      <c r="D2" s="49"/>
      <c r="E2" s="50"/>
      <c r="F2" s="8">
        <f>IF(AND(COUNTBLANK(A2:E2)&lt;&gt;5,COUNTBLANK(A2:E2)&lt;&gt;0),1,0)</f>
        <v>0</v>
      </c>
      <c r="G2" s="8">
        <f>IF(F2&gt;0,0,E2)</f>
        <v>200</v>
      </c>
      <c r="H2" s="8">
        <f t="shared" ref="H2:H33" si="0">COUNTIFS($B$2:$B$51,"&lt;&gt;"&amp;"",$B$2:$B$51,"="&amp;B2)</f>
        <v>1</v>
      </c>
    </row>
    <row r="3" spans="1:8">
      <c r="A3" s="47"/>
      <c r="B3" s="48"/>
      <c r="C3" s="49"/>
      <c r="D3" s="49"/>
      <c r="E3" s="50"/>
      <c r="F3" s="8">
        <f>IF(AND(COUNTBLANK(A3:E3)&lt;&gt;5,COUNTBLANK(A3:E3)&lt;&gt;0),1,0)</f>
        <v>0</v>
      </c>
      <c r="H3" s="8">
        <f t="shared" si="0"/>
        <v>0</v>
      </c>
    </row>
    <row r="4" spans="1:8">
      <c r="A4" s="47"/>
      <c r="B4" s="48"/>
      <c r="C4" s="49"/>
      <c r="D4" s="49"/>
      <c r="E4" s="50"/>
      <c r="F4" s="8">
        <f t="shared" ref="F4:F51" si="1">IF(AND(COUNTBLANK(A4:E4)&lt;&gt;5,COUNTBLANK(A4:E4)&lt;&gt;0),1,0)</f>
        <v>0</v>
      </c>
      <c r="H4" s="8">
        <f t="shared" si="0"/>
        <v>0</v>
      </c>
    </row>
    <row r="5" spans="1:8">
      <c r="A5" s="47"/>
      <c r="B5" s="48"/>
      <c r="C5" s="49"/>
      <c r="D5" s="49"/>
      <c r="E5" s="50"/>
      <c r="F5" s="8">
        <f t="shared" si="1"/>
        <v>0</v>
      </c>
      <c r="H5" s="8">
        <f t="shared" si="0"/>
        <v>0</v>
      </c>
    </row>
    <row r="6" spans="1:8">
      <c r="A6" s="47"/>
      <c r="B6" s="48"/>
      <c r="C6" s="49"/>
      <c r="D6" s="49"/>
      <c r="E6" s="50"/>
      <c r="F6" s="8">
        <f t="shared" si="1"/>
        <v>0</v>
      </c>
      <c r="H6" s="8">
        <f t="shared" si="0"/>
        <v>0</v>
      </c>
    </row>
    <row r="7" spans="1:8">
      <c r="A7" s="47"/>
      <c r="B7" s="48"/>
      <c r="C7" s="49"/>
      <c r="D7" s="49"/>
      <c r="E7" s="50"/>
      <c r="F7" s="8">
        <f t="shared" si="1"/>
        <v>0</v>
      </c>
      <c r="H7" s="8">
        <f t="shared" si="0"/>
        <v>0</v>
      </c>
    </row>
    <row r="8" spans="1:8">
      <c r="A8" s="47"/>
      <c r="B8" s="48"/>
      <c r="C8" s="49"/>
      <c r="D8" s="49"/>
      <c r="E8" s="50"/>
      <c r="F8" s="8">
        <f t="shared" si="1"/>
        <v>0</v>
      </c>
      <c r="H8" s="8">
        <f t="shared" si="0"/>
        <v>0</v>
      </c>
    </row>
    <row r="9" spans="1:8">
      <c r="A9" s="47"/>
      <c r="B9" s="48"/>
      <c r="C9" s="49"/>
      <c r="D9" s="49"/>
      <c r="E9" s="50"/>
      <c r="F9" s="8">
        <f t="shared" si="1"/>
        <v>0</v>
      </c>
      <c r="H9" s="8">
        <f t="shared" si="0"/>
        <v>0</v>
      </c>
    </row>
    <row r="10" spans="1:8">
      <c r="A10" s="47"/>
      <c r="B10" s="48"/>
      <c r="C10" s="49"/>
      <c r="D10" s="49"/>
      <c r="E10" s="50"/>
      <c r="F10" s="8">
        <f t="shared" si="1"/>
        <v>0</v>
      </c>
      <c r="H10" s="8">
        <f t="shared" si="0"/>
        <v>0</v>
      </c>
    </row>
    <row r="11" spans="1:8">
      <c r="A11" s="47"/>
      <c r="B11" s="48"/>
      <c r="C11" s="49"/>
      <c r="D11" s="49"/>
      <c r="E11" s="50"/>
      <c r="F11" s="8">
        <f t="shared" si="1"/>
        <v>0</v>
      </c>
      <c r="H11" s="8">
        <f t="shared" si="0"/>
        <v>0</v>
      </c>
    </row>
    <row r="12" spans="1:8">
      <c r="A12" s="47"/>
      <c r="B12" s="48"/>
      <c r="C12" s="49"/>
      <c r="D12" s="49"/>
      <c r="E12" s="50"/>
      <c r="F12" s="8">
        <f t="shared" si="1"/>
        <v>0</v>
      </c>
      <c r="H12" s="8">
        <f t="shared" si="0"/>
        <v>0</v>
      </c>
    </row>
    <row r="13" spans="1:8">
      <c r="A13" s="47"/>
      <c r="B13" s="48"/>
      <c r="C13" s="49"/>
      <c r="D13" s="49"/>
      <c r="E13" s="50"/>
      <c r="F13" s="8">
        <f t="shared" si="1"/>
        <v>0</v>
      </c>
      <c r="H13" s="8">
        <f t="shared" si="0"/>
        <v>0</v>
      </c>
    </row>
    <row r="14" spans="1:8">
      <c r="A14" s="47"/>
      <c r="B14" s="48"/>
      <c r="C14" s="49"/>
      <c r="D14" s="49"/>
      <c r="E14" s="50"/>
      <c r="F14" s="8">
        <f t="shared" si="1"/>
        <v>0</v>
      </c>
      <c r="H14" s="8">
        <f t="shared" si="0"/>
        <v>0</v>
      </c>
    </row>
    <row r="15" spans="1:8">
      <c r="A15" s="47"/>
      <c r="B15" s="48"/>
      <c r="C15" s="49"/>
      <c r="D15" s="49"/>
      <c r="E15" s="50"/>
      <c r="F15" s="8">
        <f t="shared" si="1"/>
        <v>0</v>
      </c>
      <c r="H15" s="8">
        <f t="shared" si="0"/>
        <v>0</v>
      </c>
    </row>
    <row r="16" spans="1:8">
      <c r="A16" s="47"/>
      <c r="B16" s="48"/>
      <c r="C16" s="49"/>
      <c r="D16" s="49"/>
      <c r="E16" s="50"/>
      <c r="F16" s="8">
        <f t="shared" si="1"/>
        <v>0</v>
      </c>
      <c r="H16" s="8">
        <f t="shared" si="0"/>
        <v>0</v>
      </c>
    </row>
    <row r="17" spans="1:8">
      <c r="A17" s="47"/>
      <c r="B17" s="48"/>
      <c r="C17" s="49"/>
      <c r="D17" s="49"/>
      <c r="E17" s="50"/>
      <c r="F17" s="8">
        <f t="shared" si="1"/>
        <v>0</v>
      </c>
      <c r="H17" s="8">
        <f t="shared" si="0"/>
        <v>0</v>
      </c>
    </row>
    <row r="18" spans="1:8">
      <c r="A18" s="47"/>
      <c r="B18" s="48"/>
      <c r="C18" s="49"/>
      <c r="D18" s="49"/>
      <c r="E18" s="50"/>
      <c r="F18" s="8">
        <f t="shared" si="1"/>
        <v>0</v>
      </c>
      <c r="H18" s="8">
        <f t="shared" si="0"/>
        <v>0</v>
      </c>
    </row>
    <row r="19" spans="1:8">
      <c r="A19" s="47"/>
      <c r="B19" s="48"/>
      <c r="C19" s="49"/>
      <c r="D19" s="49"/>
      <c r="E19" s="50"/>
      <c r="F19" s="8">
        <f t="shared" si="1"/>
        <v>0</v>
      </c>
      <c r="H19" s="8">
        <f t="shared" si="0"/>
        <v>0</v>
      </c>
    </row>
    <row r="20" spans="1:8">
      <c r="A20" s="47"/>
      <c r="B20" s="48"/>
      <c r="C20" s="49"/>
      <c r="D20" s="49"/>
      <c r="E20" s="50"/>
      <c r="F20" s="8">
        <f t="shared" si="1"/>
        <v>0</v>
      </c>
      <c r="H20" s="8">
        <f t="shared" si="0"/>
        <v>0</v>
      </c>
    </row>
    <row r="21" spans="1:8">
      <c r="A21" s="47"/>
      <c r="B21" s="48"/>
      <c r="C21" s="49"/>
      <c r="D21" s="49"/>
      <c r="E21" s="50"/>
      <c r="F21" s="8">
        <f t="shared" si="1"/>
        <v>0</v>
      </c>
      <c r="H21" s="8">
        <f t="shared" si="0"/>
        <v>0</v>
      </c>
    </row>
    <row r="22" spans="1:8">
      <c r="A22" s="47"/>
      <c r="B22" s="48"/>
      <c r="C22" s="49"/>
      <c r="D22" s="49"/>
      <c r="E22" s="50"/>
      <c r="F22" s="8">
        <f t="shared" si="1"/>
        <v>0</v>
      </c>
      <c r="H22" s="8">
        <f t="shared" si="0"/>
        <v>0</v>
      </c>
    </row>
    <row r="23" spans="1:8">
      <c r="A23" s="47"/>
      <c r="B23" s="48"/>
      <c r="C23" s="49"/>
      <c r="D23" s="49"/>
      <c r="E23" s="50"/>
      <c r="F23" s="8">
        <f t="shared" si="1"/>
        <v>0</v>
      </c>
      <c r="H23" s="8">
        <f t="shared" si="0"/>
        <v>0</v>
      </c>
    </row>
    <row r="24" spans="1:8">
      <c r="A24" s="47"/>
      <c r="B24" s="48"/>
      <c r="C24" s="49"/>
      <c r="D24" s="49"/>
      <c r="E24" s="50"/>
      <c r="F24" s="8">
        <f t="shared" si="1"/>
        <v>0</v>
      </c>
      <c r="H24" s="8">
        <f t="shared" si="0"/>
        <v>0</v>
      </c>
    </row>
    <row r="25" spans="1:8">
      <c r="A25" s="47"/>
      <c r="B25" s="48"/>
      <c r="C25" s="49"/>
      <c r="D25" s="49"/>
      <c r="E25" s="50"/>
      <c r="F25" s="8">
        <f t="shared" si="1"/>
        <v>0</v>
      </c>
      <c r="H25" s="8">
        <f t="shared" si="0"/>
        <v>0</v>
      </c>
    </row>
    <row r="26" spans="1:8">
      <c r="A26" s="47"/>
      <c r="B26" s="48"/>
      <c r="C26" s="49"/>
      <c r="D26" s="49"/>
      <c r="E26" s="50"/>
      <c r="F26" s="8">
        <f t="shared" si="1"/>
        <v>0</v>
      </c>
      <c r="H26" s="8">
        <f t="shared" si="0"/>
        <v>0</v>
      </c>
    </row>
    <row r="27" spans="1:8">
      <c r="A27" s="47"/>
      <c r="B27" s="48"/>
      <c r="C27" s="49"/>
      <c r="D27" s="49"/>
      <c r="E27" s="50"/>
      <c r="F27" s="8">
        <f t="shared" si="1"/>
        <v>0</v>
      </c>
      <c r="H27" s="8">
        <f t="shared" si="0"/>
        <v>0</v>
      </c>
    </row>
    <row r="28" spans="1:8">
      <c r="A28" s="47"/>
      <c r="B28" s="48"/>
      <c r="C28" s="49"/>
      <c r="D28" s="49"/>
      <c r="E28" s="50"/>
      <c r="F28" s="8">
        <f t="shared" si="1"/>
        <v>0</v>
      </c>
      <c r="H28" s="8">
        <f t="shared" si="0"/>
        <v>0</v>
      </c>
    </row>
    <row r="29" spans="1:8">
      <c r="A29" s="47"/>
      <c r="B29" s="48"/>
      <c r="C29" s="49"/>
      <c r="D29" s="49"/>
      <c r="E29" s="50"/>
      <c r="F29" s="8">
        <f t="shared" si="1"/>
        <v>0</v>
      </c>
      <c r="H29" s="8">
        <f t="shared" si="0"/>
        <v>0</v>
      </c>
    </row>
    <row r="30" spans="1:8">
      <c r="A30" s="47"/>
      <c r="B30" s="48"/>
      <c r="C30" s="49"/>
      <c r="D30" s="49"/>
      <c r="E30" s="50"/>
      <c r="F30" s="8">
        <f t="shared" si="1"/>
        <v>0</v>
      </c>
      <c r="H30" s="8">
        <f t="shared" si="0"/>
        <v>0</v>
      </c>
    </row>
    <row r="31" spans="1:8">
      <c r="A31" s="47"/>
      <c r="B31" s="48"/>
      <c r="C31" s="49"/>
      <c r="D31" s="49"/>
      <c r="E31" s="50"/>
      <c r="F31" s="8">
        <f t="shared" si="1"/>
        <v>0</v>
      </c>
      <c r="H31" s="8">
        <f t="shared" si="0"/>
        <v>0</v>
      </c>
    </row>
    <row r="32" spans="1:8">
      <c r="A32" s="47"/>
      <c r="B32" s="48"/>
      <c r="C32" s="49"/>
      <c r="D32" s="49"/>
      <c r="E32" s="50"/>
      <c r="F32" s="8">
        <f t="shared" si="1"/>
        <v>0</v>
      </c>
      <c r="H32" s="8">
        <f t="shared" si="0"/>
        <v>0</v>
      </c>
    </row>
    <row r="33" spans="1:8">
      <c r="A33" s="47"/>
      <c r="B33" s="48"/>
      <c r="C33" s="49"/>
      <c r="D33" s="49"/>
      <c r="E33" s="50"/>
      <c r="F33" s="8">
        <f t="shared" si="1"/>
        <v>0</v>
      </c>
      <c r="H33" s="8">
        <f t="shared" si="0"/>
        <v>0</v>
      </c>
    </row>
    <row r="34" spans="1:8">
      <c r="A34" s="47"/>
      <c r="B34" s="48"/>
      <c r="C34" s="49"/>
      <c r="D34" s="49"/>
      <c r="E34" s="50"/>
      <c r="F34" s="8">
        <f t="shared" si="1"/>
        <v>0</v>
      </c>
      <c r="H34" s="8">
        <f t="shared" ref="H34:H51" si="2">COUNTIFS($B$2:$B$51,"&lt;&gt;"&amp;"",$B$2:$B$51,"="&amp;B34)</f>
        <v>0</v>
      </c>
    </row>
    <row r="35" spans="1:8">
      <c r="A35" s="47"/>
      <c r="B35" s="48"/>
      <c r="C35" s="49"/>
      <c r="D35" s="49"/>
      <c r="E35" s="50"/>
      <c r="F35" s="8">
        <f t="shared" si="1"/>
        <v>0</v>
      </c>
      <c r="H35" s="8">
        <f t="shared" si="2"/>
        <v>0</v>
      </c>
    </row>
    <row r="36" spans="1:8">
      <c r="A36" s="47"/>
      <c r="B36" s="48"/>
      <c r="C36" s="49"/>
      <c r="D36" s="49"/>
      <c r="E36" s="50"/>
      <c r="F36" s="8">
        <f t="shared" si="1"/>
        <v>0</v>
      </c>
      <c r="H36" s="8">
        <f t="shared" si="2"/>
        <v>0</v>
      </c>
    </row>
    <row r="37" spans="1:8">
      <c r="A37" s="47"/>
      <c r="B37" s="48"/>
      <c r="C37" s="49"/>
      <c r="D37" s="49"/>
      <c r="E37" s="50"/>
      <c r="F37" s="8">
        <f t="shared" si="1"/>
        <v>0</v>
      </c>
      <c r="H37" s="8">
        <f t="shared" si="2"/>
        <v>0</v>
      </c>
    </row>
    <row r="38" spans="1:8">
      <c r="A38" s="47"/>
      <c r="B38" s="48"/>
      <c r="C38" s="49"/>
      <c r="D38" s="49"/>
      <c r="E38" s="50"/>
      <c r="F38" s="8">
        <f t="shared" si="1"/>
        <v>0</v>
      </c>
      <c r="H38" s="8">
        <f t="shared" si="2"/>
        <v>0</v>
      </c>
    </row>
    <row r="39" spans="1:8">
      <c r="A39" s="47"/>
      <c r="B39" s="48"/>
      <c r="C39" s="49"/>
      <c r="D39" s="49"/>
      <c r="E39" s="50"/>
      <c r="F39" s="8">
        <f t="shared" si="1"/>
        <v>0</v>
      </c>
      <c r="H39" s="8">
        <f t="shared" si="2"/>
        <v>0</v>
      </c>
    </row>
    <row r="40" spans="1:8">
      <c r="A40" s="47"/>
      <c r="B40" s="48"/>
      <c r="C40" s="49"/>
      <c r="D40" s="49"/>
      <c r="E40" s="50"/>
      <c r="F40" s="8">
        <f t="shared" si="1"/>
        <v>0</v>
      </c>
      <c r="H40" s="8">
        <f t="shared" si="2"/>
        <v>0</v>
      </c>
    </row>
    <row r="41" spans="1:8">
      <c r="A41" s="47"/>
      <c r="B41" s="48"/>
      <c r="C41" s="49"/>
      <c r="D41" s="49"/>
      <c r="E41" s="50"/>
      <c r="F41" s="8">
        <f t="shared" si="1"/>
        <v>0</v>
      </c>
      <c r="H41" s="8">
        <f t="shared" si="2"/>
        <v>0</v>
      </c>
    </row>
    <row r="42" spans="1:8">
      <c r="A42" s="47"/>
      <c r="B42" s="48"/>
      <c r="C42" s="49"/>
      <c r="D42" s="49"/>
      <c r="E42" s="50"/>
      <c r="F42" s="8">
        <f t="shared" si="1"/>
        <v>0</v>
      </c>
      <c r="H42" s="8">
        <f t="shared" si="2"/>
        <v>0</v>
      </c>
    </row>
    <row r="43" spans="1:8">
      <c r="A43" s="47"/>
      <c r="B43" s="48"/>
      <c r="C43" s="49"/>
      <c r="D43" s="49"/>
      <c r="E43" s="50"/>
      <c r="F43" s="8">
        <f t="shared" si="1"/>
        <v>0</v>
      </c>
      <c r="H43" s="8">
        <f t="shared" si="2"/>
        <v>0</v>
      </c>
    </row>
    <row r="44" spans="1:8">
      <c r="A44" s="47"/>
      <c r="B44" s="48"/>
      <c r="C44" s="49"/>
      <c r="D44" s="49"/>
      <c r="E44" s="50"/>
      <c r="F44" s="8">
        <f t="shared" si="1"/>
        <v>0</v>
      </c>
      <c r="H44" s="8">
        <f t="shared" si="2"/>
        <v>0</v>
      </c>
    </row>
    <row r="45" spans="1:8">
      <c r="A45" s="47"/>
      <c r="B45" s="48"/>
      <c r="C45" s="49"/>
      <c r="D45" s="49"/>
      <c r="E45" s="50"/>
      <c r="F45" s="8">
        <f t="shared" si="1"/>
        <v>0</v>
      </c>
      <c r="H45" s="8">
        <f t="shared" si="2"/>
        <v>0</v>
      </c>
    </row>
    <row r="46" spans="1:8">
      <c r="A46" s="47"/>
      <c r="B46" s="48"/>
      <c r="C46" s="49"/>
      <c r="D46" s="49"/>
      <c r="E46" s="50"/>
      <c r="F46" s="8">
        <f t="shared" si="1"/>
        <v>0</v>
      </c>
      <c r="H46" s="8">
        <f t="shared" si="2"/>
        <v>0</v>
      </c>
    </row>
    <row r="47" spans="1:8">
      <c r="A47" s="47"/>
      <c r="B47" s="48"/>
      <c r="C47" s="49"/>
      <c r="D47" s="49"/>
      <c r="E47" s="50"/>
      <c r="F47" s="8">
        <f t="shared" si="1"/>
        <v>0</v>
      </c>
      <c r="H47" s="8">
        <f t="shared" si="2"/>
        <v>0</v>
      </c>
    </row>
    <row r="48" spans="1:8">
      <c r="A48" s="47"/>
      <c r="B48" s="48"/>
      <c r="C48" s="49"/>
      <c r="D48" s="49"/>
      <c r="E48" s="50"/>
      <c r="F48" s="8">
        <f t="shared" si="1"/>
        <v>0</v>
      </c>
      <c r="H48" s="8">
        <f t="shared" si="2"/>
        <v>0</v>
      </c>
    </row>
    <row r="49" spans="1:8">
      <c r="A49" s="47"/>
      <c r="B49" s="48"/>
      <c r="C49" s="49"/>
      <c r="D49" s="49"/>
      <c r="E49" s="50"/>
      <c r="F49" s="8">
        <f t="shared" si="1"/>
        <v>0</v>
      </c>
      <c r="H49" s="8">
        <f t="shared" si="2"/>
        <v>0</v>
      </c>
    </row>
    <row r="50" spans="1:8">
      <c r="A50" s="47"/>
      <c r="B50" s="48"/>
      <c r="C50" s="49"/>
      <c r="D50" s="49"/>
      <c r="E50" s="50"/>
      <c r="F50" s="8">
        <f t="shared" si="1"/>
        <v>0</v>
      </c>
      <c r="H50" s="8">
        <f t="shared" si="2"/>
        <v>0</v>
      </c>
    </row>
    <row r="51" spans="1:8">
      <c r="A51" s="47"/>
      <c r="B51" s="48"/>
      <c r="C51" s="49"/>
      <c r="D51" s="49"/>
      <c r="E51" s="50"/>
      <c r="F51" s="8">
        <f t="shared" si="1"/>
        <v>0</v>
      </c>
      <c r="H51" s="8">
        <f t="shared" si="2"/>
        <v>0</v>
      </c>
    </row>
    <row r="52" spans="1:8">
      <c r="B52" s="38"/>
      <c r="C52" s="38"/>
      <c r="D52" s="38"/>
      <c r="E52" s="38"/>
      <c r="F52" s="38"/>
      <c r="G52" s="38"/>
    </row>
  </sheetData>
  <sheetProtection algorithmName="SHA-512" hashValue="FgAkusEf0KdNJWyGnPT5PDXsW/RjvCaH0ZGT8UfsNafwtMWzSnodMOYikQpZbdLkNjX+KsEwfmWFZELIEo96zA==" saltValue="IndNVIgNzz4cWgHI3zhiAQ==" spinCount="100000" sheet="1" objects="1" scenarios="1" selectLockedCells="1"/>
  <conditionalFormatting sqref="B2:B51">
    <cfRule type="duplicateValues" dxfId="9" priority="1"/>
  </conditionalFormatting>
  <conditionalFormatting sqref="B2:E3">
    <cfRule type="expression" dxfId="8" priority="2">
      <formula>$F$2&gt;0</formula>
    </cfRule>
  </conditionalFormatting>
  <dataValidations count="3">
    <dataValidation type="list" allowBlank="1" showInputMessage="1" showErrorMessage="1" sqref="C2:C51" ns2:uid="{2143C051-8F69-4FED-B2A2-52B22F230A42}">
      <formula1>"Cheque Local BAC, Cheque Local Otros"</formula1>
    </dataValidation>
    <dataValidation type="list" allowBlank="1" showInputMessage="1" showErrorMessage="1" sqref="D2:D51" ns2:uid="{2FE68CA4-33CA-44FC-BEA1-8493D9FADE04}">
      <formula1>"NIO,USD,EUR"</formula1>
    </dataValidation>
    <dataValidation type="textLength" allowBlank="1" showInputMessage="1" showErrorMessage="1" sqref="B2:B51" ns2:uid="{E1C27695-D1B0-4EA4-84D5-5FAD4E5E7D5F}">
      <formula1>1</formula1>
      <formula2>20</formula2>
    </dataValidation>
  </dataValidations>
  <pageMargins left="0.7" right="0.7" top="0.75" bottom="0.75" header="0.3" footer="0.3"/>
  <tableParts count="1">
    <tablePart ns3:id="rId1"/>
  </tableParts>
  <extLst>
    <ext uri="{CCE6A557-97BC-4b89-ADB6-D9C93CAAB3DF}">
      <ns4:dataValidations count="1">
        <ns4:dataValidation type="list" allowBlank="1" showInputMessage="1" showErrorMessage="1" ns2:uid="{34E5EA07-50FA-43BE-8729-0DADA0C6169E}">
          <ns4:formula1>
            <ns5:f>Depositos!$I$6:$I$206</ns5:f>
          </ns4:formula1>
          <ns5:sqref>A2:A51</ns5:sqref>
        </ns4:dataValidation>
      </ns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C7DF5-29AF-4881-A257-286FC91033EC}">
  <dimension ref="A1:B3"/>
  <sheetViews>
    <sheetView workbookViewId="0">
      <selection activeCell="B3" sqref="B3"/>
    </sheetView>
  </sheetViews>
  <sheetFormatPr defaultRowHeight="15"/>
  <cols>
    <col min="1" max="1" width="16" bestFit="1" customWidth="1"/>
  </cols>
  <sheetData>
    <row r="1" spans="1:2">
      <c r="A1" t="s">
        <v>26</v>
      </c>
      <c r="B1" t="s">
        <v>27</v>
      </c>
    </row>
    <row r="2" spans="1:2">
      <c r="A2" t="s">
        <v>28</v>
      </c>
      <c r="B2" t="inlineStr">
        <is>
          <t>1.1.1</t>
        </is>
      </c>
    </row>
    <row r="3" spans="1:2">
      <c r="A3" t="s">
        <v>31</v>
      </c>
      <c r="B3">
        <f>Depositos!J2</f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Randy Kauffman</dc:creator>
  <cp:keywords/>
  <dc:description/>
  <cp:lastModifiedBy/>
  <cp:revision/>
  <dcterms:created xsi:type="dcterms:W3CDTF">2025-08-08T05:11:13Z</dcterms:created>
  <dcterms:modified xsi:type="dcterms:W3CDTF">2026-08-04T22:03:17Z</dcterms:modified>
  <cp:category/>
  <cp:contentStatus/>
</cp:coreProperties>
</file>